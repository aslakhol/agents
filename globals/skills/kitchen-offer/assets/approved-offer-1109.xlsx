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016f6941844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lbud som i PDF" sheetId="1" r:id="R773f183f1fa14735"/>
    <x:sheet xmlns:r="http://schemas.openxmlformats.org/officeDocument/2006/relationships" name="Oversikt" sheetId="2" r:id="R249b9277ebec4c7c"/>
    <x:sheet xmlns:r="http://schemas.openxmlformats.org/officeDocument/2006/relationships" name="Varelinjer" sheetId="3" r:id="R457c1d6eed3c4169"/>
    <x:sheet xmlns:r="http://schemas.openxmlformats.org/officeDocument/2006/relationships" name="Vilkår og merknader" sheetId="4" r:id="R1950d3d103ba457a"/>
    <x:sheet xmlns:r="http://schemas.openxmlformats.org/officeDocument/2006/relationships" name="Tilbud - arbeidsark" sheetId="5" r:id="R2b4582427b64413d"/>
    <x:sheet xmlns:r="http://schemas.openxmlformats.org/officeDocument/2006/relationships" name="Oversikt - kutt" sheetId="6" r:id="Rc918f49879d4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200" formatCode="#,##0.00;[Red]-#,##0.00;0.00"/>
    <x:numFmt numFmtId="201" formatCode="0%"/>
    <x:numFmt numFmtId="202" formatCode="#,##0"/>
    <x:numFmt numFmtId="203" formatCode="@"/>
    <x:numFmt numFmtId="204" formatCode="yyyy-mm-dd"/>
    <x:numFmt numFmtId="205" formatCode="#,##0&quot; mm&quot;"/>
    <x:numFmt numFmtId="206" formatCode="0"/>
    <x:numFmt numFmtId="207" formatCode="&quot;kr &quot;#,##0.00;&quot;kr &quot;-#,##0.00"/>
    <x:numFmt numFmtId="208" formatCode="&quot;~&quot;0.00%"/>
    <x:numFmt numFmtId="209" formatCode="#,##0.00&quot; kr&quot;"/>
    <x:numFmt numFmtId="210" formatCode="000"/>
    <x:numFmt numFmtId="211" formatCode="General"/>
    <x:numFmt numFmtId="212" formatCode="#,##0.00[$ kr]"/>
    <x:numFmt numFmtId="213" formatCode="0000000000"/>
    <x:numFmt numFmtId="214" formatCode="0000000"/>
    <x:numFmt numFmtId="215" formatCode="000000000"/>
    <x:numFmt numFmtId="216" formatCode="00000000"/>
    <x:numFmt numFmtId="217" formatCode="000000000000"/>
  </x:numFmts>
  <x:fonts count="25">
    <x:font>
      <x:sz val="11"/>
      <x:name val="Carlito"/>
    </x:font>
    <x:font>
      <x:sz val="11"/>
      <x:color rgb="FF202830"/>
      <x:name val="Arial"/>
    </x:font>
    <x:font>
      <x:b/>
      <x:sz val="17"/>
      <x:color rgb="FF202830"/>
      <x:name val="Arial"/>
    </x:font>
    <x:font>
      <x:sz val="10"/>
      <x:color rgb="FF5B6670"/>
      <x:name val="Arial"/>
    </x:font>
    <x:font>
      <x:b/>
      <x:sz val="11"/>
      <x:color rgb="FFFFFFFF"/>
      <x:name val="Arial"/>
    </x:font>
    <x:font>
      <x:b/>
      <x:sz val="11"/>
      <x:color rgb="FF202830"/>
      <x:name val="Arial"/>
    </x:font>
    <x:font>
      <x:b/>
      <x:sz val="20"/>
      <x:color rgb="FF202830"/>
      <x:name val="Arial"/>
    </x:font>
    <x:font>
      <x:sz val="10"/>
      <x:color rgb="FF555555"/>
      <x:name val="Arial"/>
    </x:font>
    <x:font>
      <x:sz val="11"/>
      <x:color rgb="FF111111"/>
      <x:name val="Arial"/>
    </x:font>
    <x:font>
      <x:b/>
      <x:sz val="20"/>
      <x:color rgb="FF111111"/>
      <x:name val="Arial"/>
    </x:font>
    <x:font>
      <x:b/>
      <x:sz val="11"/>
      <x:color rgb="FF111111"/>
      <x:name val="Arial"/>
    </x:font>
    <x:font>
      <x:sz val="10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sz val="11"/>
      <x:color rgb="FF111111"/>
      <x:name val="Arial"/>
    </x:font>
    <x:font>
      <x:b/>
      <x:sz val="14"/>
      <x:color rgb="FF111111"/>
      <x:name val="Arial"/>
    </x:font>
    <x:font>
      <x:b/>
      <x:sz val="14"/>
      <x:color rgb="FF000000"/>
      <x:name val="Arial"/>
    </x:font>
    <x:font>
      <x:b/>
      <x:sz val="20"/>
      <x:color rgb="FF111111"/>
      <x:name val="Arial"/>
    </x:font>
    <x:font>
      <x:sz val="11"/>
      <x:color rgb="FF111111"/>
      <x:name val="Arial"/>
    </x:font>
    <x:font>
      <x:sz val="11"/>
      <x:color rgb="FF000000"/>
      <x:name val="Carlito"/>
    </x:font>
    <x:font>
      <x:b/>
      <x:sz val="11"/>
      <x:color rgb="FF111111"/>
      <x:name val="Arial"/>
    </x:font>
    <x:font>
      <x:b/>
      <x:sz val="11"/>
      <x:color rgb="FF000000"/>
      <x:name val="Arial"/>
    </x:font>
    <x:font>
      <x:b/>
      <x:sz val="11"/>
      <x:color rgb="FFFFFFFF"/>
      <x:name val="Arial"/>
    </x:font>
    <x:font>
      <x:b/>
      <x:sz val="14"/>
      <x:color rgb="FF000000"/>
      <x:name val="Carlito"/>
    </x:font>
    <x:font>
      <x:b/>
      <x:sz val="11"/>
      <x:color rgb="FF0000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344552"/>
      </x:patternFill>
    </x:fill>
    <x:fill>
      <x:patternFill patternType="solid">
        <x:fgColor rgb="FFEEF2F4"/>
      </x:patternFill>
    </x:fill>
    <x:fill>
      <x:patternFill patternType="solid">
        <x:fgColor rgb="FFE4EEDF"/>
      </x:patternFill>
    </x:fill>
    <x:fill>
      <x:patternFill patternType="solid">
        <x:fgColor rgb="FFF4F6F7"/>
      </x:patternFill>
    </x:fill>
    <x:fill>
      <x:patternFill patternType="solid">
        <x:fgColor rgb="FFFFF3CD"/>
      </x:patternFill>
    </x:fill>
    <x:fill>
      <x:patternFill patternType="solid">
        <x:fgColor rgb="FFD9D9D9"/>
      </x:patternFill>
    </x:fill>
    <x:fill>
      <x:patternFill patternType="solid">
        <x:fgColor rgb="FFEBEBEB"/>
      </x:patternFill>
    </x:fill>
    <x:fill>
      <x:patternFill patternType="solid">
        <x:fgColor rgb="FF356854"/>
      </x:patternFill>
    </x:fill>
    <x:fill>
      <x:patternFill patternType="solid">
        <x:fgColor rgb="FFFFFFFF"/>
      </x:patternFill>
    </x:fill>
    <x:fill>
      <x:patternFill patternType="solid">
        <x:fgColor rgb="FFF6F8F9"/>
      </x:patternFill>
    </x:fill>
    <x:fill>
      <x:patternFill patternType="solid">
        <x:fgColor rgb="FFB7B7B7"/>
      </x:patternFill>
    </x:fill>
  </x:fills>
  <x:borders count="17">
    <x:border/>
    <x:border>
      <x:top style="thin">
        <x:color rgb="FF92A0AA"/>
      </x:top>
    </x:border>
    <x:border>
      <x:top style="thin">
        <x:color rgb="FF222222"/>
      </x:top>
      <x:bottom style="thin">
        <x:color rgb="FF222222"/>
      </x:bottom>
    </x:border>
    <x:border>
      <x:top style="thin">
        <x:color rgb="FF444444"/>
      </x:top>
    </x:border>
    <x:border>
      <x:top style="thin">
        <x:color rgb="FF666666"/>
      </x:top>
    </x:border>
    <x:border>
      <x:top style="thin">
        <x:color rgb="FF777777"/>
      </x:top>
    </x:border>
    <x:border>
      <x:left style="thin">
        <x:color rgb="FF356854"/>
      </x:left>
      <x:top style="thin">
        <x:color rgb="FF356854"/>
      </x:top>
    </x:border>
    <x:border>
      <x:top style="thin">
        <x:color rgb="FF356854"/>
      </x:top>
    </x:border>
    <x:border>
      <x:right style="thin">
        <x:color rgb="FF356854"/>
      </x:right>
      <x:top style="thin">
        <x:color rgb="FF356854"/>
      </x:top>
    </x:border>
    <x:border>
      <x:left style="thin">
        <x:color rgb="FF356854"/>
      </x:left>
    </x:border>
    <x:border>
      <x:right style="thin">
        <x:color rgb="FF356854"/>
      </x:right>
    </x:border>
    <x:border>
      <x:left style="thin">
        <x:color rgb="FF356854"/>
      </x:left>
      <x:bottom style="thin">
        <x:color rgb="FF356854"/>
      </x:bottom>
    </x:border>
    <x:border>
      <x:bottom style="thin">
        <x:color rgb="FF356854"/>
      </x:bottom>
    </x:border>
    <x:border>
      <x:right style="thin">
        <x:color rgb="FF356854"/>
      </x:right>
      <x:bottom style="thin">
        <x:color rgb="FF356854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bottom style="thick">
        <x:color rgb="FF000000"/>
      </x:bottom>
    </x:border>
  </x:borders>
  <x:cellStyleXfs count="1">
    <x:xf numFmtId="0" fontId="0" fillId="0" borderId="0"/>
  </x:cellStyleXfs>
  <x:cellXfs count="28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/>
    </x:xf>
    <x:xf numFmtId="203" fontId="1" fillId="5" borderId="0" xfId="0" applyNumberFormat="1" applyFont="1" applyFill="1" applyBorder="1" applyAlignment="1">
      <x:alignment horizontal="left" vertical="center"/>
    </x:xf>
    <x:xf numFmtId="203" fontId="1" fillId="0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horizontal="left" vertical="center" wrapText="1"/>
    </x:xf>
    <x:xf numFmtId="204" fontId="1" fillId="3" borderId="0" xfId="0" applyNumberFormat="1" applyFont="1" applyFill="1" applyBorder="1" applyAlignment="1">
      <x:alignment horizontal="left" vertical="center" wrapText="1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2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5" fontId="5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 vertical="center"/>
    </x:xf>
    <x:xf numFmtId="207" fontId="5" fillId="0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 wrapText="1"/>
    </x:xf>
    <x:xf numFmtId="205" fontId="1" fillId="8" borderId="0" xfId="0" applyNumberFormat="1" applyFont="1" applyFill="1" applyBorder="1" applyAlignment="1">
      <x:alignment vertical="center"/>
    </x:xf>
    <x:xf numFmtId="206" fontId="1" fillId="8" borderId="0" xfId="0" applyNumberFormat="1" applyFont="1" applyFill="1" applyBorder="1" applyAlignment="1">
      <x:alignment horizontal="center" vertical="center"/>
    </x:xf>
    <x:xf numFmtId="201" fontId="1" fillId="8" borderId="0" xfId="0" applyNumberFormat="1" applyFont="1" applyFill="1" applyBorder="1" applyAlignment="1">
      <x:alignment horizontal="center" vertical="center"/>
    </x:xf>
    <x:xf numFmtId="207" fontId="1" fillId="8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 applyAlignment="1">
      <x:alignment horizontal="right" vertical="center" wrapText="1"/>
    </x:xf>
    <x:xf numFmtId="201" fontId="5" fillId="0" borderId="3" xfId="0" applyNumberFormat="1" applyFont="1" applyFill="1" applyBorder="1" applyAlignment="1">
      <x:alignment horizontal="center" vertical="center"/>
    </x:xf>
    <x:xf numFmtId="207" fontId="5" fillId="0" borderId="3" xfId="0" applyNumberFormat="1" applyFont="1" applyFill="1" applyBorder="1" applyAlignment="1">
      <x:alignment vertical="center"/>
    </x:xf>
    <x:xf numFmtId="208" fontId="5" fillId="0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right" vertical="center" wrapText="1"/>
    </x:xf>
    <x:xf numFmtId="205" fontId="5" fillId="0" borderId="4" xfId="0" applyNumberFormat="1" applyFont="1" applyFill="1" applyBorder="1" applyAlignment="1">
      <x:alignment vertical="center"/>
    </x:xf>
    <x:xf numFmtId="206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7" fontId="5" fillId="0" borderId="4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 applyAlignment="1">
      <x:alignment vertical="center" wrapText="1"/>
    </x:xf>
    <x:xf numFmtId="203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202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9" fontId="8" fillId="0" borderId="0" xfId="0" applyNumberFormat="1" applyFont="1" applyFill="1" applyBorder="1" applyAlignment="1">
      <x:alignment vertical="center"/>
    </x:xf>
    <x:xf numFmtId="209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10" fillId="10" borderId="0" xfId="0" applyNumberFormat="1" applyFont="1" applyFill="1" applyBorder="1" applyAlignment="1">
      <x:alignment horizontal="center" vertical="center"/>
    </x:xf>
    <x:xf numFmtId="0" fontId="10" fillId="10" borderId="0" xfId="0" applyNumberFormat="1" applyFont="1" applyFill="1" applyBorder="1" applyAlignment="1">
      <x:alignment vertical="center" wrapText="1"/>
    </x:xf>
    <x:xf numFmtId="203" fontId="8" fillId="10" borderId="0" xfId="0" applyNumberFormat="1" applyFont="1" applyFill="1" applyBorder="1" applyAlignment="1">
      <x:alignment horizontal="right" vertic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vertical="center" wrapText="1"/>
    </x:xf>
    <x:xf numFmtId="202" fontId="8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1" fontId="8" fillId="10" borderId="0" xfId="0" applyNumberFormat="1" applyFont="1" applyFill="1" applyBorder="1" applyAlignment="1">
      <x:alignment vertical="center"/>
    </x:xf>
    <x:xf numFmtId="209" fontId="8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209" fontId="10" fillId="10" borderId="0" xfId="0" applyNumberFormat="1" applyFont="1" applyFill="1" applyBorder="1" applyAlignment="1">
      <x:alignment vertical="center"/>
    </x:xf>
    <x:xf numFmtId="210" fontId="8" fillId="10" borderId="0" xfId="0" applyNumberFormat="1" applyFont="1" applyFill="1" applyBorder="1" applyAlignment="1">
      <x:alignment horizontal="right" vertical="center"/>
    </x:xf>
    <x:xf numFmtId="0" fontId="13" fillId="10" borderId="0" xfId="0" applyNumberFormat="1" applyFont="1" applyFill="1" applyBorder="1" applyAlignment="1">
      <x:alignment horizontal="center" vertical="center" wrapText="1"/>
    </x:xf>
    <x:xf numFmtId="209" fontId="12" fillId="10" borderId="0" xfId="0" applyNumberFormat="1" applyFont="1" applyFill="1" applyBorder="1" applyAlignment="1">
      <x:alignment vertical="center"/>
    </x:xf>
    <x:xf numFmtId="0" fontId="10" fillId="11" borderId="0" xfId="0" applyNumberFormat="1" applyFont="1" applyFill="1" applyBorder="1" applyAlignment="1">
      <x:alignment horizontal="center" vertical="center"/>
    </x:xf>
    <x:xf numFmtId="0" fontId="10" fillId="11" borderId="0" xfId="0" applyNumberFormat="1" applyFont="1" applyFill="1" applyBorder="1" applyAlignment="1">
      <x:alignment vertical="center" wrapText="1"/>
    </x:xf>
    <x:xf numFmtId="203" fontId="8" fillId="11" borderId="0" xfId="0" applyNumberFormat="1" applyFont="1" applyFill="1" applyBorder="1" applyAlignment="1">
      <x:alignment horizontal="right" vertic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8" fillId="11" borderId="0" xfId="0" applyNumberFormat="1" applyFont="1" applyFill="1" applyBorder="1" applyAlignment="1">
      <x:alignment vertical="center" wrapText="1"/>
    </x:xf>
    <x:xf numFmtId="202" fontId="8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center"/>
    </x:xf>
    <x:xf numFmtId="201" fontId="8" fillId="11" borderId="0" xfId="0" applyNumberFormat="1" applyFont="1" applyFill="1" applyBorder="1" applyAlignment="1">
      <x:alignment vertical="center"/>
    </x:xf>
    <x:xf numFmtId="209" fontId="8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horizontal="center" vertical="center" wrapText="1"/>
    </x:xf>
    <x:xf numFmtId="209" fontId="10" fillId="11" borderId="0" xfId="0" applyNumberFormat="1" applyFont="1" applyFill="1" applyBorder="1" applyAlignment="1">
      <x:alignment vertical="center"/>
    </x:xf>
    <x:xf numFmtId="0" fontId="13" fillId="11" borderId="0" xfId="0" applyNumberFormat="1" applyFont="1" applyFill="1" applyBorder="1" applyAlignment="1">
      <x:alignment horizontal="center" vertical="center" wrapText="1"/>
    </x:xf>
    <x:xf numFmtId="209" fontId="12" fillId="11" borderId="0" xfId="0" applyNumberFormat="1" applyFont="1" applyFill="1" applyBorder="1" applyAlignment="1">
      <x:alignment vertical="center"/>
    </x:xf>
    <x:xf numFmtId="0" fontId="14" fillId="11" borderId="0" xfId="0" applyNumberFormat="1" applyFont="1" applyFill="1" applyBorder="1" applyAlignment="1">
      <x:alignment vertical="center" wrapText="1"/>
    </x:xf>
    <x:xf numFmtId="0" fontId="14" fillId="10" borderId="0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/>
    </x:xf>
    <x:xf numFmtId="0" fontId="15" fillId="12" borderId="0" xfId="0" applyNumberFormat="1" applyFont="1" applyFill="1" applyBorder="1" applyAlignment="1">
      <x:alignment vertical="center"/>
    </x:xf>
    <x:xf numFmtId="0" fontId="15" fillId="12" borderId="0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209" fontId="8" fillId="0" borderId="5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 wrapText="1"/>
    </x:xf>
    <x:xf numFmtId="209" fontId="10" fillId="0" borderId="5" xfId="0" applyNumberFormat="1" applyFont="1" applyFill="1" applyBorder="1" applyAlignment="1">
      <x:alignment vertical="center"/>
    </x:xf>
    <x:xf numFmtId="0" fontId="16" fillId="12" borderId="0" xfId="0" applyNumberFormat="1" applyFont="1" applyFill="1" applyBorder="1" applyAlignment="1">
      <x:alignment vertical="center" wrapText="1"/>
    </x:xf>
    <x:xf numFmtId="0" fontId="13" fillId="0" borderId="5" xfId="0" applyNumberFormat="1" applyFont="1" applyFill="1" applyBorder="1" applyAlignment="1">
      <x:alignment vertical="center" wrapText="1"/>
    </x:xf>
    <x:xf numFmtId="209" fontId="13" fillId="0" borderId="5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  <x:xf numFmtId="209" fontId="13" fillId="0" borderId="0" xfId="0" applyNumberFormat="1" applyFont="1" applyFill="1" applyBorder="1" applyAlignment="1">
      <x:alignment vertical="center"/>
    </x:xf>
    <x:xf numFmtId="0" fontId="12" fillId="0" borderId="5" xfId="0" applyNumberFormat="1" applyFont="1" applyFill="1" applyBorder="1" applyAlignment="1">
      <x:alignment vertical="center" wrapText="1"/>
    </x:xf>
    <x:xf numFmtId="209" fontId="12" fillId="0" borderId="5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0"/>
    </x:xf>
    <x:xf numFmtId="0" fontId="17" fillId="0" borderId="0" xfId="0" applyNumberFormat="1" applyFont="1" applyFill="1" applyBorder="1" applyAlignment="1">
      <x:alignment horizontal="general" wrapText="0"/>
    </x:xf>
    <x:xf numFmtId="0" fontId="17" fillId="0" borderId="0" xfId="0" applyNumberFormat="1" applyFont="1" applyFill="1" applyBorder="1" applyAlignment="1">
      <x:alignment horizontal="general" vertical="center" wrapText="0"/>
    </x:xf>
    <x:xf numFmtId="211" fontId="17" fillId="0" borderId="0" xfId="0" applyNumberFormat="1" applyFont="1" applyFill="1" applyBorder="1" applyAlignment="1">
      <x:alignment horizontal="general" vertical="center" wrapText="0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0"/>
    </x:xf>
    <x:xf numFmtId="0" fontId="18" fillId="0" borderId="0" xfId="0" applyNumberFormat="1" applyFont="1" applyFill="1" applyBorder="1" applyAlignment="1">
      <x:alignment horizontal="general" wrapText="0"/>
    </x:xf>
    <x:xf numFmtId="0" fontId="18" fillId="0" borderId="0" xfId="0" applyNumberFormat="1" applyFont="1" applyFill="1" applyBorder="1" applyAlignment="1">
      <x:alignment horizontal="general" vertical="center" wrapText="0"/>
    </x:xf>
    <x:xf numFmtId="211" fontId="18" fillId="0" borderId="0" xfId="0" applyNumberFormat="1" applyFont="1" applyFill="1" applyBorder="1" applyAlignment="1">
      <x:alignment horizontal="general" vertical="center" wrapText="0"/>
    </x:xf>
    <x:xf numFmtId="0" fontId="19" fillId="0" borderId="0" xfId="0" applyNumberFormat="1" applyFont="1" applyFill="1" applyBorder="1"/>
    <x:xf numFmtId="0" fontId="19" fillId="0" borderId="0" xfId="0" applyNumberFormat="1" applyFont="1" applyFill="1" applyBorder="1" applyAlignment="1">
      <x:alignment wrapText="0"/>
    </x:xf>
    <x:xf numFmtId="0" fontId="19" fillId="0" borderId="0" xfId="0" applyNumberFormat="1" applyFont="1" applyFill="1" applyBorder="1" applyAlignment="1">
      <x:alignment horizontal="right" wrapText="0"/>
    </x:xf>
    <x:xf numFmtId="0" fontId="19" fillId="0" borderId="0" xfId="0" applyNumberFormat="1" applyFont="1" applyFill="1" applyBorder="1" applyAlignment="1">
      <x:alignment horizontal="right" vertical="bottom" wrapText="0"/>
    </x:xf>
    <x:xf numFmtId="211" fontId="19" fillId="0" borderId="0" xfId="0" applyNumberFormat="1" applyFont="1" applyFill="1" applyBorder="1" applyAlignment="1">
      <x:alignment horizontal="right" vertical="bottom" wrapText="0"/>
    </x:xf>
    <x:xf numFmtId="0" fontId="19" fillId="0" borderId="0" xfId="0" applyNumberFormat="1" applyFont="1" applyFill="1" applyBorder="1" applyAlignment="1">
      <x:alignment horizontal="general" wrapText="0"/>
    </x:xf>
    <x:xf numFmtId="0" fontId="19" fillId="0" borderId="0" xfId="0" applyNumberFormat="1" applyFont="1" applyFill="1" applyBorder="1" applyAlignment="1">
      <x:alignment horizontal="general" vertical="bottom" wrapText="0"/>
    </x:xf>
    <x:xf numFmtId="211" fontId="19" fillId="0" borderId="0" xfId="0" applyNumberFormat="1" applyFont="1" applyFill="1" applyBorder="1" applyAlignment="1">
      <x:alignment horizontal="general" vertical="bottom" wrapText="0"/>
    </x:xf>
    <x:xf numFmtId="204" fontId="18" fillId="0" borderId="0" xfId="0" applyNumberFormat="1" applyFont="1" applyFill="1" applyBorder="1" applyAlignment="1">
      <x:alignment horizontal="general" vertical="center" wrapText="0"/>
    </x:xf>
    <x:xf numFmtId="0" fontId="20" fillId="0" borderId="0" xfId="0" applyNumberFormat="1" applyFont="1" applyFill="1" applyBorder="1"/>
    <x:xf numFmtId="0" fontId="20" fillId="0" borderId="0" xfId="0" applyNumberFormat="1" applyFont="1" applyFill="1" applyBorder="1" applyAlignment="1">
      <x:alignment wrapText="0"/>
    </x:xf>
    <x:xf numFmtId="0" fontId="20" fillId="0" borderId="0" xfId="0" applyNumberFormat="1" applyFont="1" applyFill="1" applyBorder="1" applyAlignment="1">
      <x:alignment horizontal="general" wrapText="0"/>
    </x:xf>
    <x:xf numFmtId="0" fontId="20" fillId="0" borderId="0" xfId="0" applyNumberFormat="1" applyFont="1" applyFill="1" applyBorder="1" applyAlignment="1">
      <x:alignment horizontal="general" vertical="center" wrapText="0"/>
    </x:xf>
    <x:xf numFmtId="211" fontId="20" fillId="0" borderId="0" xfId="0" applyNumberFormat="1" applyFont="1" applyFill="1" applyBorder="1" applyAlignment="1">
      <x:alignment horizontal="general" vertical="center" wrapText="0"/>
    </x:xf>
    <x:xf numFmtId="0" fontId="21" fillId="0" borderId="0" xfId="0" applyNumberFormat="1" applyFont="1" applyFill="1" applyBorder="1"/>
    <x:xf numFmtId="0" fontId="21" fillId="0" borderId="0" xfId="0" applyNumberFormat="1" applyFont="1" applyFill="1" applyBorder="1" applyAlignment="1">
      <x:alignment wrapText="0"/>
    </x:xf>
    <x:xf numFmtId="0" fontId="21" fillId="0" borderId="0" xfId="0" applyNumberFormat="1" applyFont="1" applyFill="1" applyBorder="1" applyAlignment="1">
      <x:alignment horizontal="left" wrapText="0"/>
    </x:xf>
    <x:xf numFmtId="0" fontId="21" fillId="0" borderId="0" xfId="0" applyNumberFormat="1" applyFont="1" applyFill="1" applyBorder="1" applyAlignment="1">
      <x:alignment horizontal="left" vertical="center" wrapText="0"/>
    </x:xf>
    <x:xf numFmtId="211" fontId="21" fillId="0" borderId="0" xfId="0" applyNumberFormat="1" applyFont="1" applyFill="1" applyBorder="1" applyAlignment="1">
      <x:alignment horizontal="left" vertical="center" wrapText="0"/>
    </x:xf>
    <x:xf numFmtId="0" fontId="21" fillId="0" borderId="0" xfId="0" applyNumberFormat="1" applyFont="1" applyFill="1" applyBorder="1" applyAlignment="1">
      <x:alignment horizontal="right" wrapText="0"/>
    </x:xf>
    <x:xf numFmtId="0" fontId="21" fillId="0" borderId="0" xfId="0" applyNumberFormat="1" applyFont="1" applyFill="1" applyBorder="1" applyAlignment="1">
      <x:alignment horizontal="right" vertical="center" wrapText="0"/>
    </x:xf>
    <x:xf numFmtId="211" fontId="21" fillId="0" borderId="0" xfId="0" applyNumberFormat="1" applyFont="1" applyFill="1" applyBorder="1" applyAlignment="1">
      <x:alignment horizontal="right" vertical="center" wrapText="0"/>
    </x:xf>
    <x:xf numFmtId="202" fontId="20" fillId="0" borderId="0" xfId="0" applyNumberFormat="1" applyFont="1" applyFill="1" applyBorder="1" applyAlignment="1">
      <x:alignment horizontal="general" vertical="center" wrapText="0"/>
    </x:xf>
    <x:xf numFmtId="203" fontId="20" fillId="0" borderId="0" xfId="0" applyNumberFormat="1" applyFont="1" applyFill="1" applyBorder="1" applyAlignment="1">
      <x:alignment horizontal="general" vertical="center" wrapText="0"/>
    </x:xf>
    <x:xf numFmtId="210" fontId="18" fillId="0" borderId="0" xfId="0" applyNumberFormat="1" applyFont="1" applyFill="1" applyBorder="1" applyAlignment="1">
      <x:alignment horizontal="general" vertical="center" wrapText="0"/>
    </x:xf>
    <x:xf numFmtId="0" fontId="20" fillId="0" borderId="0" xfId="0" applyNumberFormat="1" applyFont="1" applyFill="1" applyBorder="1" applyAlignment="1">
      <x:alignment wrapText="1"/>
    </x:xf>
    <x:xf numFmtId="0" fontId="20" fillId="0" borderId="0" xfId="0" applyNumberFormat="1" applyFont="1" applyFill="1" applyBorder="1" applyAlignment="1">
      <x:alignment horizontal="general" wrapText="1"/>
    </x:xf>
    <x:xf numFmtId="0" fontId="20" fillId="0" borderId="0" xfId="0" applyNumberFormat="1" applyFont="1" applyFill="1" applyBorder="1" applyAlignment="1">
      <x:alignment horizontal="general" vertical="center" wrapText="1"/>
    </x:xf>
    <x:xf numFmtId="211" fontId="20" fillId="0" borderId="0" xfId="0" applyNumberFormat="1" applyFont="1" applyFill="1" applyBorder="1" applyAlignment="1">
      <x:alignment horizontal="general" vertical="center" wrapText="1"/>
    </x:xf>
    <x:xf numFmtId="205" fontId="18" fillId="0" borderId="0" xfId="0" applyNumberFormat="1" applyFont="1" applyFill="1" applyBorder="1" applyAlignment="1">
      <x:alignment horizontal="general" vertical="center" wrapText="0"/>
    </x:xf>
    <x:xf numFmtId="212" fontId="18" fillId="0" borderId="0" xfId="0" applyNumberFormat="1" applyFont="1" applyFill="1" applyBorder="1" applyAlignment="1">
      <x:alignment horizontal="general" vertical="center" wrapText="0"/>
    </x:xf>
    <x:xf numFmtId="0" fontId="19" fillId="0" borderId="0" xfId="0" applyNumberFormat="1" applyFont="1" applyFill="1" applyBorder="1" applyAlignment="1">
      <x:alignment horizontal="right" vertical="center" wrapText="0"/>
    </x:xf>
    <x:xf numFmtId="211" fontId="19" fillId="0" borderId="0" xfId="0" applyNumberFormat="1" applyFont="1" applyFill="1" applyBorder="1" applyAlignment="1">
      <x:alignment horizontal="right" vertical="center" wrapText="0"/>
    </x:xf>
    <x:xf numFmtId="0" fontId="19" fillId="0" borderId="0" xfId="0" applyNumberFormat="1" applyFont="1" applyFill="1" applyBorder="1" applyAlignment="1">
      <x:alignment horizontal="general" vertical="center" wrapText="0"/>
    </x:xf>
    <x:xf numFmtId="212" fontId="19" fillId="0" borderId="0" xfId="0" applyNumberFormat="1" applyFont="1" applyFill="1" applyBorder="1" applyAlignment="1">
      <x:alignment horizontal="general" vertical="center" wrapText="0"/>
    </x:xf>
    <x:xf numFmtId="213" fontId="18" fillId="0" borderId="0" xfId="0" applyNumberFormat="1" applyFont="1" applyFill="1" applyBorder="1" applyAlignment="1">
      <x:alignment horizontal="general" vertical="center" wrapText="0"/>
    </x:xf>
    <x:xf numFmtId="0" fontId="18" fillId="0" borderId="0" xfId="0" applyNumberFormat="1" applyFont="1" applyFill="1" applyBorder="1" applyAlignment="1">
      <x:alignment horizontal="right" wrapText="0"/>
    </x:xf>
    <x:xf numFmtId="0" fontId="18" fillId="0" borderId="0" xfId="0" applyNumberFormat="1" applyFont="1" applyFill="1" applyBorder="1" applyAlignment="1">
      <x:alignment horizontal="right" vertical="center" wrapText="0"/>
    </x:xf>
    <x:xf numFmtId="207" fontId="18" fillId="0" borderId="0" xfId="0" applyNumberFormat="1" applyFont="1" applyFill="1" applyBorder="1" applyAlignment="1">
      <x:alignment horizontal="right" vertical="center" wrapText="0"/>
    </x:xf>
    <x:xf numFmtId="212" fontId="18" fillId="0" borderId="0" xfId="0" applyNumberFormat="1" applyFont="1" applyFill="1" applyBorder="1" applyAlignment="1">
      <x:alignment horizontal="right" vertical="center" wrapText="0"/>
    </x:xf>
    <x:xf numFmtId="214" fontId="18" fillId="0" borderId="0" xfId="0" applyNumberFormat="1" applyFont="1" applyFill="1" applyBorder="1" applyAlignment="1">
      <x:alignment horizontal="general" vertical="center" wrapText="0"/>
    </x:xf>
    <x:xf numFmtId="211" fontId="19" fillId="0" borderId="0" xfId="0" applyNumberFormat="1" applyFont="1" applyFill="1" applyBorder="1" applyAlignment="1">
      <x:alignment horizontal="general" vertical="center" wrapText="0"/>
    </x:xf>
    <x:xf numFmtId="215" fontId="18" fillId="0" borderId="0" xfId="0" applyNumberFormat="1" applyFont="1" applyFill="1" applyBorder="1" applyAlignment="1">
      <x:alignment horizontal="general" vertical="center" wrapText="0"/>
    </x:xf>
    <x:xf numFmtId="216" fontId="18" fillId="0" borderId="0" xfId="0" applyNumberFormat="1" applyFont="1" applyFill="1" applyBorder="1" applyAlignment="1">
      <x:alignment horizontal="general" vertical="center" wrapText="0"/>
    </x:xf>
    <x:xf numFmtId="211" fontId="18" fillId="0" borderId="0" xfId="0" applyNumberFormat="1" applyFont="1" applyFill="1" applyBorder="1" applyAlignment="1">
      <x:alignment horizontal="right" vertical="center" wrapText="0"/>
    </x:xf>
    <x:xf numFmtId="0" fontId="18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horizontal="general" wrapText="1"/>
    </x:xf>
    <x:xf numFmtId="0" fontId="18" fillId="0" borderId="0" xfId="0" applyNumberFormat="1" applyFont="1" applyFill="1" applyBorder="1" applyAlignment="1">
      <x:alignment horizontal="general" vertical="center" wrapText="1"/>
    </x:xf>
    <x:xf numFmtId="211" fontId="18" fillId="0" borderId="0" xfId="0" applyNumberFormat="1" applyFont="1" applyFill="1" applyBorder="1" applyAlignment="1">
      <x:alignment horizontal="general" vertical="center" wrapText="1"/>
    </x:xf>
    <x:xf numFmtId="212" fontId="19" fillId="0" borderId="0" xfId="0" applyNumberFormat="1" applyFont="1" applyFill="1" applyBorder="1" applyAlignment="1">
      <x:alignment horizontal="right" vertical="center" wrapText="0"/>
    </x:xf>
    <x:xf numFmtId="217" fontId="18" fillId="0" borderId="0" xfId="0" applyNumberFormat="1" applyFont="1" applyFill="1" applyBorder="1" applyAlignment="1">
      <x:alignment horizontal="general" vertical="center" wrapText="0"/>
    </x:xf>
    <x:xf numFmtId="203" fontId="18" fillId="0" borderId="0" xfId="0" applyNumberFormat="1" applyFont="1" applyFill="1" applyBorder="1" applyAlignment="1">
      <x:alignment horizontal="general" vertical="center" wrapText="0"/>
    </x:xf>
    <x:xf numFmtId="211" fontId="21" fillId="9" borderId="0" xfId="0" applyNumberFormat="1" applyFont="1" applyFill="1" applyBorder="1" applyAlignment="1">
      <x:alignment horizontal="left" vertical="center" wrapText="0"/>
    </x:xf>
    <x:xf numFmtId="211" fontId="21" fillId="9" borderId="0" xfId="0" applyNumberFormat="1" applyFont="1" applyFill="1" applyBorder="1" applyAlignment="1">
      <x:alignment horizontal="right" vertical="center" wrapText="0"/>
    </x:xf>
    <x:xf numFmtId="211" fontId="22" fillId="9" borderId="0" xfId="0" applyNumberFormat="1" applyFont="1" applyFill="1" applyBorder="1" applyAlignment="1">
      <x:alignment horizontal="left" vertical="center" wrapText="0"/>
    </x:xf>
    <x:xf numFmtId="211" fontId="22" fillId="9" borderId="0" xfId="0" applyNumberFormat="1" applyFont="1" applyFill="1" applyBorder="1" applyAlignment="1">
      <x:alignment horizontal="right" vertical="center" wrapText="0"/>
    </x:xf>
    <x:xf numFmtId="202" fontId="20" fillId="10" borderId="0" xfId="0" applyNumberFormat="1" applyFont="1" applyFill="1" applyBorder="1" applyAlignment="1">
      <x:alignment horizontal="general" vertical="center" wrapText="0"/>
    </x:xf>
    <x:xf numFmtId="203" fontId="20" fillId="10" borderId="0" xfId="0" applyNumberFormat="1" applyFont="1" applyFill="1" applyBorder="1" applyAlignment="1">
      <x:alignment horizontal="general" vertical="center" wrapText="0"/>
    </x:xf>
    <x:xf numFmtId="210" fontId="18" fillId="10" borderId="0" xfId="0" applyNumberFormat="1" applyFont="1" applyFill="1" applyBorder="1" applyAlignment="1">
      <x:alignment horizontal="general" vertical="center" wrapText="0"/>
    </x:xf>
    <x:xf numFmtId="211" fontId="18" fillId="10" borderId="0" xfId="0" applyNumberFormat="1" applyFont="1" applyFill="1" applyBorder="1" applyAlignment="1">
      <x:alignment horizontal="general" vertical="center" wrapText="0"/>
    </x:xf>
    <x:xf numFmtId="211" fontId="20" fillId="10" borderId="0" xfId="0" applyNumberFormat="1" applyFont="1" applyFill="1" applyBorder="1" applyAlignment="1">
      <x:alignment horizontal="general" vertical="center" wrapText="1"/>
    </x:xf>
    <x:xf numFmtId="205" fontId="18" fillId="10" borderId="0" xfId="0" applyNumberFormat="1" applyFont="1" applyFill="1" applyBorder="1" applyAlignment="1">
      <x:alignment horizontal="general" vertical="center" wrapText="0"/>
    </x:xf>
    <x:xf numFmtId="212" fontId="18" fillId="10" borderId="0" xfId="0" applyNumberFormat="1" applyFont="1" applyFill="1" applyBorder="1" applyAlignment="1">
      <x:alignment horizontal="general" vertical="center" wrapText="0"/>
    </x:xf>
    <x:xf numFmtId="211" fontId="19" fillId="10" borderId="0" xfId="0" applyNumberFormat="1" applyFont="1" applyFill="1" applyBorder="1" applyAlignment="1">
      <x:alignment horizontal="right" vertical="center" wrapText="0"/>
    </x:xf>
    <x:xf numFmtId="212" fontId="19" fillId="10" borderId="0" xfId="0" applyNumberFormat="1" applyFont="1" applyFill="1" applyBorder="1" applyAlignment="1">
      <x:alignment horizontal="general" vertical="center" wrapText="0"/>
    </x:xf>
    <x:xf numFmtId="202" fontId="20" fillId="11" borderId="0" xfId="0" applyNumberFormat="1" applyFont="1" applyFill="1" applyBorder="1" applyAlignment="1">
      <x:alignment horizontal="general" vertical="center" wrapText="0"/>
    </x:xf>
    <x:xf numFmtId="203" fontId="20" fillId="11" borderId="0" xfId="0" applyNumberFormat="1" applyFont="1" applyFill="1" applyBorder="1" applyAlignment="1">
      <x:alignment horizontal="general" vertical="center" wrapText="0"/>
    </x:xf>
    <x:xf numFmtId="213" fontId="18" fillId="11" borderId="0" xfId="0" applyNumberFormat="1" applyFont="1" applyFill="1" applyBorder="1" applyAlignment="1">
      <x:alignment horizontal="general" vertical="center" wrapText="0"/>
    </x:xf>
    <x:xf numFmtId="211" fontId="18" fillId="11" borderId="0" xfId="0" applyNumberFormat="1" applyFont="1" applyFill="1" applyBorder="1" applyAlignment="1">
      <x:alignment horizontal="general" vertical="center" wrapText="0"/>
    </x:xf>
    <x:xf numFmtId="211" fontId="20" fillId="11" borderId="0" xfId="0" applyNumberFormat="1" applyFont="1" applyFill="1" applyBorder="1" applyAlignment="1">
      <x:alignment horizontal="general" vertical="center" wrapText="1"/>
    </x:xf>
    <x:xf numFmtId="205" fontId="18" fillId="11" borderId="0" xfId="0" applyNumberFormat="1" applyFont="1" applyFill="1" applyBorder="1" applyAlignment="1">
      <x:alignment horizontal="general" vertical="center" wrapText="0"/>
    </x:xf>
    <x:xf numFmtId="212" fontId="18" fillId="11" borderId="0" xfId="0" applyNumberFormat="1" applyFont="1" applyFill="1" applyBorder="1" applyAlignment="1">
      <x:alignment horizontal="general" vertical="center" wrapText="0"/>
    </x:xf>
    <x:xf numFmtId="207" fontId="18" fillId="11" borderId="0" xfId="0" applyNumberFormat="1" applyFont="1" applyFill="1" applyBorder="1" applyAlignment="1">
      <x:alignment horizontal="right" vertical="center" wrapText="0"/>
    </x:xf>
    <x:xf numFmtId="212" fontId="18" fillId="11" borderId="0" xfId="0" applyNumberFormat="1" applyFont="1" applyFill="1" applyBorder="1" applyAlignment="1">
      <x:alignment horizontal="right" vertical="center" wrapText="0"/>
    </x:xf>
    <x:xf numFmtId="214" fontId="18" fillId="10" borderId="0" xfId="0" applyNumberFormat="1" applyFont="1" applyFill="1" applyBorder="1" applyAlignment="1">
      <x:alignment horizontal="general" vertical="center" wrapText="0"/>
    </x:xf>
    <x:xf numFmtId="214" fontId="18" fillId="11" borderId="0" xfId="0" applyNumberFormat="1" applyFont="1" applyFill="1" applyBorder="1" applyAlignment="1">
      <x:alignment horizontal="general" vertical="center" wrapText="0"/>
    </x:xf>
    <x:xf numFmtId="211" fontId="19" fillId="11" borderId="0" xfId="0" applyNumberFormat="1" applyFont="1" applyFill="1" applyBorder="1" applyAlignment="1">
      <x:alignment horizontal="right" vertical="center" wrapText="0"/>
    </x:xf>
    <x:xf numFmtId="211" fontId="19" fillId="11" borderId="0" xfId="0" applyNumberFormat="1" applyFont="1" applyFill="1" applyBorder="1" applyAlignment="1">
      <x:alignment horizontal="general" vertical="center" wrapText="0"/>
    </x:xf>
    <x:xf numFmtId="213" fontId="18" fillId="10" borderId="0" xfId="0" applyNumberFormat="1" applyFont="1" applyFill="1" applyBorder="1" applyAlignment="1">
      <x:alignment horizontal="general" vertical="center" wrapText="0"/>
    </x:xf>
    <x:xf numFmtId="207" fontId="18" fillId="10" borderId="0" xfId="0" applyNumberFormat="1" applyFont="1" applyFill="1" applyBorder="1" applyAlignment="1">
      <x:alignment horizontal="right" vertical="center" wrapText="0"/>
    </x:xf>
    <x:xf numFmtId="212" fontId="18" fillId="10" borderId="0" xfId="0" applyNumberFormat="1" applyFont="1" applyFill="1" applyBorder="1" applyAlignment="1">
      <x:alignment horizontal="right" vertical="center" wrapText="0"/>
    </x:xf>
    <x:xf numFmtId="215" fontId="18" fillId="11" borderId="0" xfId="0" applyNumberFormat="1" applyFont="1" applyFill="1" applyBorder="1" applyAlignment="1">
      <x:alignment horizontal="general" vertical="center" wrapText="0"/>
    </x:xf>
    <x:xf numFmtId="212" fontId="19" fillId="11" borderId="0" xfId="0" applyNumberFormat="1" applyFont="1" applyFill="1" applyBorder="1" applyAlignment="1">
      <x:alignment horizontal="general" vertical="center" wrapText="0"/>
    </x:xf>
    <x:xf numFmtId="216" fontId="18" fillId="10" borderId="0" xfId="0" applyNumberFormat="1" applyFont="1" applyFill="1" applyBorder="1" applyAlignment="1">
      <x:alignment horizontal="general" vertical="center" wrapText="0"/>
    </x:xf>
    <x:xf numFmtId="211" fontId="18" fillId="10" borderId="0" xfId="0" applyNumberFormat="1" applyFont="1" applyFill="1" applyBorder="1" applyAlignment="1">
      <x:alignment horizontal="right" vertical="center" wrapText="0"/>
    </x:xf>
    <x:xf numFmtId="211" fontId="18" fillId="11" borderId="0" xfId="0" applyNumberFormat="1" applyFont="1" applyFill="1" applyBorder="1" applyAlignment="1">
      <x:alignment horizontal="right" vertical="center" wrapText="0"/>
    </x:xf>
    <x:xf numFmtId="216" fontId="18" fillId="11" borderId="0" xfId="0" applyNumberFormat="1" applyFont="1" applyFill="1" applyBorder="1" applyAlignment="1">
      <x:alignment horizontal="general" vertical="center" wrapText="0"/>
    </x:xf>
    <x:xf numFmtId="211" fontId="18" fillId="11" borderId="0" xfId="0" applyNumberFormat="1" applyFont="1" applyFill="1" applyBorder="1" applyAlignment="1">
      <x:alignment horizontal="general" vertical="center" wrapText="1"/>
    </x:xf>
    <x:xf numFmtId="211" fontId="18" fillId="10" borderId="0" xfId="0" applyNumberFormat="1" applyFont="1" applyFill="1" applyBorder="1" applyAlignment="1">
      <x:alignment horizontal="general" vertical="center" wrapText="1"/>
    </x:xf>
    <x:xf numFmtId="212" fontId="19" fillId="11" borderId="0" xfId="0" applyNumberFormat="1" applyFont="1" applyFill="1" applyBorder="1" applyAlignment="1">
      <x:alignment horizontal="right" vertical="center" wrapText="0"/>
    </x:xf>
    <x:xf numFmtId="215" fontId="18" fillId="10" borderId="0" xfId="0" applyNumberFormat="1" applyFont="1" applyFill="1" applyBorder="1" applyAlignment="1">
      <x:alignment horizontal="general" vertical="center" wrapText="0"/>
    </x:xf>
    <x:xf numFmtId="217" fontId="18" fillId="11" borderId="0" xfId="0" applyNumberFormat="1" applyFont="1" applyFill="1" applyBorder="1" applyAlignment="1">
      <x:alignment horizontal="general" vertical="center" wrapText="0"/>
    </x:xf>
    <x:xf numFmtId="217" fontId="18" fillId="10" borderId="0" xfId="0" applyNumberFormat="1" applyFont="1" applyFill="1" applyBorder="1" applyAlignment="1">
      <x:alignment horizontal="general" vertical="center" wrapText="0"/>
    </x:xf>
    <x:xf numFmtId="203" fontId="18" fillId="10" borderId="0" xfId="0" applyNumberFormat="1" applyFont="1" applyFill="1" applyBorder="1" applyAlignment="1">
      <x:alignment horizontal="general" vertical="center" wrapText="0"/>
    </x:xf>
    <x:xf numFmtId="203" fontId="18" fillId="11" borderId="0" xfId="0" applyNumberFormat="1" applyFont="1" applyFill="1" applyBorder="1" applyAlignment="1">
      <x:alignment horizontal="general" vertical="center" wrapText="0"/>
    </x:xf>
    <x:xf numFmtId="211" fontId="22" fillId="9" borderId="6" xfId="0" applyNumberFormat="1" applyFont="1" applyFill="1" applyBorder="1" applyAlignment="1">
      <x:alignment horizontal="left" vertical="center" wrapText="0"/>
    </x:xf>
    <x:xf numFmtId="211" fontId="22" fillId="9" borderId="7" xfId="0" applyNumberFormat="1" applyFont="1" applyFill="1" applyBorder="1" applyAlignment="1">
      <x:alignment horizontal="left" vertical="center" wrapText="0"/>
    </x:xf>
    <x:xf numFmtId="211" fontId="22" fillId="9" borderId="7" xfId="0" applyNumberFormat="1" applyFont="1" applyFill="1" applyBorder="1" applyAlignment="1">
      <x:alignment horizontal="right" vertical="center" wrapText="0"/>
    </x:xf>
    <x:xf numFmtId="211" fontId="22" fillId="9" borderId="8" xfId="0" applyNumberFormat="1" applyFont="1" applyFill="1" applyBorder="1" applyAlignment="1">
      <x:alignment horizontal="left" vertical="center" wrapText="0"/>
    </x:xf>
    <x:xf numFmtId="202" fontId="20" fillId="10" borderId="9" xfId="0" applyNumberFormat="1" applyFont="1" applyFill="1" applyBorder="1" applyAlignment="1">
      <x:alignment horizontal="general" vertical="center" wrapText="0"/>
    </x:xf>
    <x:xf numFmtId="212" fontId="19" fillId="10" borderId="10" xfId="0" applyNumberFormat="1" applyFont="1" applyFill="1" applyBorder="1" applyAlignment="1">
      <x:alignment horizontal="general" vertical="center" wrapText="0"/>
    </x:xf>
    <x:xf numFmtId="202" fontId="20" fillId="11" borderId="9" xfId="0" applyNumberFormat="1" applyFont="1" applyFill="1" applyBorder="1" applyAlignment="1">
      <x:alignment horizontal="general" vertical="center" wrapText="0"/>
    </x:xf>
    <x:xf numFmtId="212" fontId="18" fillId="11" borderId="10" xfId="0" applyNumberFormat="1" applyFont="1" applyFill="1" applyBorder="1" applyAlignment="1">
      <x:alignment horizontal="right" vertical="center" wrapText="0"/>
    </x:xf>
    <x:xf numFmtId="212" fontId="18" fillId="10" borderId="10" xfId="0" applyNumberFormat="1" applyFont="1" applyFill="1" applyBorder="1" applyAlignment="1">
      <x:alignment horizontal="general" vertical="center" wrapText="0"/>
    </x:xf>
    <x:xf numFmtId="211" fontId="19" fillId="11" borderId="10" xfId="0" applyNumberFormat="1" applyFont="1" applyFill="1" applyBorder="1" applyAlignment="1">
      <x:alignment horizontal="general" vertical="center" wrapText="0"/>
    </x:xf>
    <x:xf numFmtId="212" fontId="18" fillId="10" borderId="10" xfId="0" applyNumberFormat="1" applyFont="1" applyFill="1" applyBorder="1" applyAlignment="1">
      <x:alignment horizontal="right" vertical="center" wrapText="0"/>
    </x:xf>
    <x:xf numFmtId="212" fontId="19" fillId="11" borderId="10" xfId="0" applyNumberFormat="1" applyFont="1" applyFill="1" applyBorder="1" applyAlignment="1">
      <x:alignment horizontal="general" vertical="center" wrapText="0"/>
    </x:xf>
    <x:xf numFmtId="212" fontId="18" fillId="11" borderId="10" xfId="0" applyNumberFormat="1" applyFont="1" applyFill="1" applyBorder="1" applyAlignment="1">
      <x:alignment horizontal="general" vertical="center" wrapText="0"/>
    </x:xf>
    <x:xf numFmtId="211" fontId="18" fillId="10" borderId="10" xfId="0" applyNumberFormat="1" applyFont="1" applyFill="1" applyBorder="1" applyAlignment="1">
      <x:alignment horizontal="right" vertical="center" wrapText="0"/>
    </x:xf>
    <x:xf numFmtId="211" fontId="18" fillId="11" borderId="10" xfId="0" applyNumberFormat="1" applyFont="1" applyFill="1" applyBorder="1" applyAlignment="1">
      <x:alignment horizontal="right" vertical="center" wrapText="0"/>
    </x:xf>
    <x:xf numFmtId="212" fontId="19" fillId="11" borderId="10" xfId="0" applyNumberFormat="1" applyFont="1" applyFill="1" applyBorder="1" applyAlignment="1">
      <x:alignment horizontal="right" vertical="center" wrapText="0"/>
    </x:xf>
    <x:xf numFmtId="202" fontId="20" fillId="10" borderId="11" xfId="0" applyNumberFormat="1" applyFont="1" applyFill="1" applyBorder="1" applyAlignment="1">
      <x:alignment horizontal="general" vertical="center" wrapText="0"/>
    </x:xf>
    <x:xf numFmtId="203" fontId="20" fillId="10" borderId="12" xfId="0" applyNumberFormat="1" applyFont="1" applyFill="1" applyBorder="1" applyAlignment="1">
      <x:alignment horizontal="general" vertical="center" wrapText="0"/>
    </x:xf>
    <x:xf numFmtId="203" fontId="18" fillId="10" borderId="12" xfId="0" applyNumberFormat="1" applyFont="1" applyFill="1" applyBorder="1" applyAlignment="1">
      <x:alignment horizontal="general" vertical="center" wrapText="0"/>
    </x:xf>
    <x:xf numFmtId="211" fontId="18" fillId="10" borderId="12" xfId="0" applyNumberFormat="1" applyFont="1" applyFill="1" applyBorder="1" applyAlignment="1">
      <x:alignment horizontal="general" vertical="center" wrapText="0"/>
    </x:xf>
    <x:xf numFmtId="211" fontId="18" fillId="10" borderId="12" xfId="0" applyNumberFormat="1" applyFont="1" applyFill="1" applyBorder="1" applyAlignment="1">
      <x:alignment horizontal="general" vertical="center" wrapText="1"/>
    </x:xf>
    <x:xf numFmtId="205" fontId="18" fillId="10" borderId="12" xfId="0" applyNumberFormat="1" applyFont="1" applyFill="1" applyBorder="1" applyAlignment="1">
      <x:alignment horizontal="general" vertical="center" wrapText="0"/>
    </x:xf>
    <x:xf numFmtId="212" fontId="18" fillId="10" borderId="12" xfId="0" applyNumberFormat="1" applyFont="1" applyFill="1" applyBorder="1" applyAlignment="1">
      <x:alignment horizontal="general" vertical="center" wrapText="0"/>
    </x:xf>
    <x:xf numFmtId="211" fontId="19" fillId="10" borderId="12" xfId="0" applyNumberFormat="1" applyFont="1" applyFill="1" applyBorder="1" applyAlignment="1">
      <x:alignment horizontal="right" vertical="center" wrapText="0"/>
    </x:xf>
    <x:xf numFmtId="212" fontId="19" fillId="10" borderId="13" xfId="0" applyNumberFormat="1" applyFont="1" applyFill="1" applyBorder="1" applyAlignment="1">
      <x:alignment horizontal="general" vertical="center" wrapText="0"/>
    </x:xf>
    <x:xf numFmtId="0" fontId="23" fillId="0" borderId="0" xfId="0" applyNumberFormat="1" applyFont="1" applyFill="1" applyBorder="1"/>
    <x:xf numFmtId="0" fontId="23" fillId="0" borderId="0" xfId="0" applyNumberFormat="1" applyFont="1" applyFill="1" applyBorder="1" applyAlignment="1">
      <x:alignment wrapText="0"/>
    </x:xf>
    <x:xf numFmtId="0" fontId="23" fillId="0" borderId="0" xfId="0" applyNumberFormat="1" applyFont="1" applyFill="1" applyBorder="1" applyAlignment="1">
      <x:alignment horizontal="general" wrapText="0"/>
    </x:xf>
    <x:xf numFmtId="0" fontId="23" fillId="0" borderId="0" xfId="0" applyNumberFormat="1" applyFont="1" applyFill="1" applyBorder="1" applyAlignment="1">
      <x:alignment horizontal="general" vertical="bottom" wrapText="0"/>
    </x:xf>
    <x:xf numFmtId="0" fontId="23" fillId="12" borderId="0" xfId="0" applyNumberFormat="1" applyFont="1" applyFill="1" applyBorder="1" applyAlignment="1">
      <x:alignment horizontal="general" vertical="bottom" wrapText="0"/>
    </x:xf>
    <x:xf numFmtId="211" fontId="23" fillId="12" borderId="0" xfId="0" applyNumberFormat="1" applyFont="1" applyFill="1" applyBorder="1" applyAlignment="1">
      <x:alignment horizontal="general" vertical="bottom" wrapText="0"/>
    </x:xf>
    <x:xf numFmtId="211" fontId="19" fillId="0" borderId="14" xfId="0" applyNumberFormat="1" applyFont="1" applyFill="1" applyBorder="1" applyAlignment="1">
      <x:alignment horizontal="general" vertical="bottom" wrapText="0"/>
    </x:xf>
    <x:xf numFmtId="212" fontId="19" fillId="0" borderId="0" xfId="0" applyNumberFormat="1" applyFont="1" applyFill="1" applyBorder="1" applyAlignment="1">
      <x:alignment horizontal="general" vertical="bottom" wrapText="0"/>
    </x:xf>
    <x:xf numFmtId="212" fontId="19" fillId="0" borderId="14" xfId="0" applyNumberFormat="1" applyFont="1" applyFill="1" applyBorder="1" applyAlignment="1">
      <x:alignment horizontal="general" vertical="bottom" wrapText="0"/>
    </x:xf>
    <x:xf numFmtId="211" fontId="19" fillId="0" borderId="15" xfId="0" applyNumberFormat="1" applyFont="1" applyFill="1" applyBorder="1" applyAlignment="1">
      <x:alignment horizontal="general" vertical="bottom" wrapText="0"/>
    </x:xf>
    <x:xf numFmtId="0" fontId="24" fillId="0" borderId="0" xfId="0" applyNumberFormat="1" applyFont="1" applyFill="1" applyBorder="1"/>
    <x:xf numFmtId="0" fontId="24" fillId="0" borderId="0" xfId="0" applyNumberFormat="1" applyFont="1" applyFill="1" applyBorder="1" applyAlignment="1">
      <x:alignment wrapText="0"/>
    </x:xf>
    <x:xf numFmtId="0" fontId="24" fillId="0" borderId="0" xfId="0" applyNumberFormat="1" applyFont="1" applyFill="1" applyBorder="1" applyAlignment="1">
      <x:alignment horizontal="general" wrapText="0"/>
    </x:xf>
    <x:xf numFmtId="0" fontId="24" fillId="0" borderId="0" xfId="0" applyNumberFormat="1" applyFont="1" applyFill="1" applyBorder="1" applyAlignment="1">
      <x:alignment horizontal="general" vertical="bottom" wrapText="0"/>
    </x:xf>
    <x:xf numFmtId="211" fontId="24" fillId="0" borderId="0" xfId="0" applyNumberFormat="1" applyFont="1" applyFill="1" applyBorder="1" applyAlignment="1">
      <x:alignment horizontal="general" vertical="bottom" wrapText="0"/>
    </x:xf>
    <x:xf numFmtId="211" fontId="24" fillId="0" borderId="16" xfId="0" applyNumberFormat="1" applyFont="1" applyFill="1" applyBorder="1" applyAlignment="1">
      <x:alignment horizontal="general" vertical="bottom" wrapText="0"/>
    </x:xf>
    <x:xf numFmtId="212" fontId="24" fillId="0" borderId="0" xfId="0" applyNumberFormat="1" applyFont="1" applyFill="1" applyBorder="1" applyAlignment="1">
      <x:alignment horizontal="general" vertical="bottom" wrapText="0"/>
    </x:xf>
    <x:xf numFmtId="212" fontId="24" fillId="0" borderId="16" xfId="0" applyNumberFormat="1" applyFont="1" applyFill="1" applyBorder="1" applyAlignment="1">
      <x:alignment horizontal="general" vertical="bottom" wrapText="0"/>
    </x:xf>
  </x:cellXfs>
  <x:cellStyles count="1">
    <x:cellStyle name="Normal" xfId="0"/>
  </x:cellStyles>
  <x:dxfs count="2">
    <x:dxf>
      <x:fill>
        <x:patternFill patternType="solid">
          <x:bgColor rgb="FFFFF0D2"/>
        </x:patternFill>
      </x:fill>
    </x:dxf>
    <x:dxf>
      <x:fill>
        <x:patternFill patternType="solid">
          <x:bgColor rgb="FFFFF0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940093e6464c71" /><Relationship Type="http://schemas.openxmlformats.org/officeDocument/2006/relationships/theme" Target="/xl/theme/theme1.xml" Id="R1c3f621bccde4c67" /><Relationship Type="http://schemas.openxmlformats.org/officeDocument/2006/relationships/sharedStrings" Target="/xl/sharedStrings.xml" Id="Re394e36b69364596" /><Relationship Type="http://schemas.openxmlformats.org/officeDocument/2006/relationships/worksheet" Target="/xl/worksheets/sheet1.xml" Id="R773f183f1fa14735" /><Relationship Type="http://schemas.openxmlformats.org/officeDocument/2006/relationships/worksheet" Target="/xl/worksheets/sheet2.xml" Id="R249b9277ebec4c7c" /><Relationship Type="http://schemas.openxmlformats.org/officeDocument/2006/relationships/worksheet" Target="/xl/worksheets/sheet3.xml" Id="R457c1d6eed3c4169" /><Relationship Type="http://schemas.openxmlformats.org/officeDocument/2006/relationships/worksheet" Target="/xl/worksheets/sheet4.xml" Id="R1950d3d103ba457a" /><Relationship Type="http://schemas.openxmlformats.org/officeDocument/2006/relationships/worksheet" Target="/xl/worksheets/sheet5.xml" Id="R2b4582427b64413d" /><Relationship Type="http://schemas.openxmlformats.org/officeDocument/2006/relationships/worksheet" Target="/xl/worksheets/sheet6.xml" Id="Rc918f49879d44a1e" /></Relationships>
</file>

<file path=xl/tables/table1.xml><?xml version="1.0" encoding="utf-8"?>
<x:table xmlns:x="http://schemas.openxmlformats.org/spreadsheetml/2006/main" id="1" name="VarelinjerTabell" displayName="VarelinjerTabell" ref="A4:Q42" headerRowCount="1" totalsRowCount="0" totalsRowShown="0">
  <x:autoFilter ref="A4:Q42"/>
  <x:tableColumns count="17">
    <x:tableColumn id="1" name="Linje"/>
    <x:tableColumn id="2" name="Kategori"/>
    <x:tableColumn id="3" name="Posisjon"/>
    <x:tableColumn id="4" name="Artikkel"/>
    <x:tableColumn id="5" name="Beskrivelse"/>
    <x:tableColumn id="6" name="Antall"/>
    <x:tableColumn id="7" name="Rabatt i PDF"/>
    <x:tableColumn id="8" name="Linjesum ekskl. mva, PDF"/>
    <x:tableColumn id="9" name="Enhetspris ekskl. mva"/>
    <x:tableColumn id="10" name="Linjesum inkl. mva"/>
    <x:tableColumn id="11" name="Lengde i PDF, mm"/>
    <x:tableColumn id="12" name="NCS-farge"/>
    <x:tableColumn id="13" name="Spesifikasjon / underartikler"/>
    <x:tableColumn id="14" name="Leverandør"/>
    <x:tableColumn id="15" name="PDF-side"/>
    <x:tableColumn id="16" name="Beslutning"/>
    <x:tableColumn id="17" name="Egne notat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beidsarkTabell" displayName="ArbeidsarkTabell" ref="A14:K127" headerRowCount="1" totalsRowCount="0" totalsRowShown="0">
  <x:autoFilter ref="A14:K127"/>
  <x:tableColumns count="11">
    <x:tableColumn id="1" name="Rekkefølge i tilbud"/>
    <x:tableColumn id="2" name="Artikkel - Kategori"/>
    <x:tableColumn id="3" name="Artikkel"/>
    <x:tableColumn id="4" name="Pos"/>
    <x:tableColumn id="5" name="Markedstekst"/>
    <x:tableColumn id="6" name="Lengde, mm"/>
    <x:tableColumn id="7" name="Antall"/>
    <x:tableColumn id="8" name="Rabatt"/>
    <x:tableColumn id="9" name="Pris tilbud"/>
    <x:tableColumn id="10" name="Hva/hvor"/>
    <x:tableColumn id="11" name="Pris kuttet max"/>
  </x:tableColumns>
  <x:tableStyleInfo name="TableStyleLight1" showFirstColumn="1" showLastColumn="1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3ce719357fe4d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4df2224167fe4a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" hidden="0" customWidth="1"/>
    <x:col min="3" max="3" width="81" hidden="0" customWidth="1"/>
    <x:col min="4" max="4" width="15" hidden="0" customWidth="1"/>
    <x:col min="5" max="5" width="9" hidden="0" customWidth="1"/>
    <x:col min="6" max="6" width="12" hidden="0" customWidth="1"/>
    <x:col min="7" max="7" width="21" hidden="0" customWidth="1"/>
  </x:cols>
  <x:sheetData>
    <x:row r="1" ht="34" customHeight="1">
      <x:c r="A1" s="49" t="str">
        <x:v>TILBUD</x:v>
      </x:c>
      <x:c r="B1" s="2"/>
      <x:c r="C1" s="2"/>
      <x:c r="D1" s="2"/>
      <x:c r="E1" s="2"/>
      <x:c r="F1" s="2"/>
      <x:c r="G1" s="2"/>
    </x:row>
    <x:row r="2" ht="20" customHeight="1">
      <x:c r="A2" s="2" t="str">
        <x:v>Tegning</x:v>
      </x:c>
      <x:c r="B2" s="2"/>
      <x:c r="C2" s="2" t="str">
        <x:v>Kjøkken, Alternativ 2</x:v>
      </x:c>
      <x:c r="D2" s="2"/>
      <x:c r="E2" s="2"/>
      <x:c r="F2" s="2"/>
      <x:c r="G2" s="2"/>
    </x:row>
    <x:row r="3" ht="20" customHeight="1">
      <x:c r="A3" s="2" t="str">
        <x:v>Kunde</x:v>
      </x:c>
      <x:c r="B3" s="2"/>
      <x:c r="C3" s="2" t="str">
        <x:v>Aslak Lorås Hollund</x:v>
      </x:c>
      <x:c r="D3" s="2"/>
      <x:c r="E3" s="2"/>
      <x:c r="F3" s="2"/>
      <x:c r="G3" s="2"/>
    </x:row>
    <x:row r="4" ht="20" customHeight="1">
      <x:c r="A4" s="2" t="str">
        <x:v>Tegningsnr</x:v>
      </x:c>
      <x:c r="B4" s="2"/>
      <x:c r="C4" s="2" t="str">
        <x:v>4039</x:v>
      </x:c>
      <x:c r="D4" s="2"/>
      <x:c r="E4" s="2"/>
      <x:c r="F4" s="2" t="str">
        <x:v>Utskrevet</x:v>
      </x:c>
      <x:c r="G4" s="48" t="n">
        <x:v>46276.5</x:v>
      </x:c>
    </x:row>
    <x:row r="5" ht="20" customHeight="1">
      <x:c r="A5" s="2" t="str">
        <x:v>Eggedal NCS</x:v>
      </x:c>
      <x:c r="B5" s="2"/>
      <x:c r="C5" s="2" t="str">
        <x:v>4307-B83G, S2005-G70Y</x:v>
      </x:c>
      <x:c r="D5" s="2"/>
      <x:c r="E5" s="2"/>
      <x:c r="F5" s="2"/>
      <x:c r="G5" s="2"/>
    </x:row>
    <x:row r="6" ht="20" customHeight="1">
      <x:c r="A6" s="2"/>
      <x:c r="B6" s="2"/>
      <x:c r="C6" s="2"/>
      <x:c r="D6" s="2"/>
      <x:c r="E6" s="2"/>
      <x:c r="F6" s="2"/>
      <x:c r="G6" s="2"/>
    </x:row>
    <x:row r="7" ht="20" customHeight="1">
      <x:c r="A7" s="16" t="str">
        <x:v>Dørtype/Design</x:v>
      </x:c>
      <x:c r="B7" s="16"/>
      <x:c r="C7" s="16" t="str">
        <x:v>Uno Palett</x:v>
      </x:c>
      <x:c r="D7" s="16"/>
      <x:c r="E7" s="16"/>
      <x:c r="F7" s="16"/>
      <x:c r="G7" s="16"/>
    </x:row>
    <x:row r="8" ht="20" customHeight="1">
      <x:c r="A8" s="2" t="str">
        <x:v>Skrog</x:v>
      </x:c>
      <x:c r="B8" s="2"/>
      <x:c r="C8" s="2" t="str">
        <x:v>Hvit, framkant nøtt</x:v>
      </x:c>
      <x:c r="D8" s="2"/>
      <x:c r="E8" s="2"/>
      <x:c r="F8" s="2"/>
      <x:c r="G8" s="2"/>
    </x:row>
    <x:row r="9" ht="20" customHeight="1">
      <x:c r="A9" s="2" t="str">
        <x:v>Dekorskap</x:v>
      </x:c>
      <x:c r="B9" s="2"/>
      <x:c r="C9" s="2" t="str">
        <x:v>$ncs.4307-B83G</x:v>
      </x:c>
      <x:c r="D9" s="2"/>
      <x:c r="E9" s="2"/>
      <x:c r="F9" s="2"/>
      <x:c r="G9" s="2"/>
    </x:row>
    <x:row r="10" ht="20" customHeight="1">
      <x:c r="A10" s="2" t="str">
        <x:v>Dør</x:v>
      </x:c>
      <x:c r="B10" s="2"/>
      <x:c r="C10" s="2" t="str">
        <x:v>Uno $ncs.4307-b83g</x:v>
      </x:c>
      <x:c r="D10" s="2"/>
      <x:c r="E10" s="2"/>
      <x:c r="F10" s="2"/>
      <x:c r="G10" s="2"/>
    </x:row>
    <x:row r="11" ht="20" customHeight="1">
      <x:c r="A11" s="2" t="str">
        <x:v>Gesimslist</x:v>
      </x:c>
      <x:c r="B11" s="2"/>
      <x:c r="C11" s="2" t="str">
        <x:v>Rett liggende $ncs.4307-b83g</x:v>
      </x:c>
      <x:c r="D11" s="2"/>
      <x:c r="E11" s="2"/>
      <x:c r="F11" s="2"/>
      <x:c r="G11" s="2"/>
    </x:row>
    <x:row r="12" ht="20" customHeight="1">
      <x:c r="A12" s="2" t="str">
        <x:v>Håndtak</x:v>
      </x:c>
      <x:c r="B12" s="2"/>
      <x:c r="C12" s="2" t="str">
        <x:v>Tråd rustfri cc 128 mm</x:v>
      </x:c>
      <x:c r="D12" s="2"/>
      <x:c r="E12" s="2"/>
      <x:c r="F12" s="2"/>
      <x:c r="G12" s="2"/>
    </x:row>
    <x:row r="13" ht="20" customHeight="1">
      <x:c r="A13" s="2"/>
      <x:c r="B13" s="2"/>
      <x:c r="C13" s="2"/>
      <x:c r="D13" s="2"/>
      <x:c r="E13" s="2"/>
      <x:c r="F13" s="2"/>
      <x:c r="G13" s="2"/>
    </x:row>
    <x:row r="14" ht="24" customHeight="1">
      <x:c r="A14" s="52" t="str">
        <x:v>Artikkel</x:v>
      </x:c>
      <x:c r="B14" s="52" t="str">
        <x:v>Pos</x:v>
      </x:c>
      <x:c r="C14" s="52" t="str">
        <x:v>Markedstekst</x:v>
      </x:c>
      <x:c r="D14" s="52" t="str">
        <x:v>Lengde</x:v>
      </x:c>
      <x:c r="E14" s="52" t="str">
        <x:v>Antall</x:v>
      </x:c>
      <x:c r="F14" s="52" t="str">
        <x:v>Rabatt</x:v>
      </x:c>
      <x:c r="G14" s="52" t="str">
        <x:v>Pris</x:v>
      </x:c>
    </x:row>
    <x:row r="15" ht="30" customHeight="1">
      <x:c r="A15" s="53" t="str">
        <x:v>Uno Palett</x:v>
      </x:c>
      <x:c r="B15" s="18"/>
      <x:c r="C15" s="54"/>
      <x:c r="D15" s="55"/>
      <x:c r="E15" s="56"/>
      <x:c r="F15" s="57"/>
      <x:c r="G15" s="58"/>
    </x:row>
    <x:row r="16" ht="23" customHeight="1">
      <x:c r="A16" s="53" t="str">
        <x:v>Sigdal</x:v>
      </x:c>
      <x:c r="B16" s="18"/>
      <x:c r="C16" s="54"/>
      <x:c r="D16" s="55"/>
      <x:c r="E16" s="56"/>
      <x:c r="F16" s="57"/>
      <x:c r="G16" s="58"/>
    </x:row>
    <x:row r="17" ht="23" customHeight="1">
      <x:c r="A17" s="53" t="str">
        <x:v>Skap</x:v>
      </x:c>
      <x:c r="B17" s="18"/>
      <x:c r="C17" s="54"/>
      <x:c r="D17" s="55"/>
      <x:c r="E17" s="56"/>
      <x:c r="F17" s="57"/>
      <x:c r="G17" s="58"/>
    </x:row>
    <x:row r="18" ht="20" customHeight="1">
      <x:c r="A18" s="59" t="str">
        <x:v>14363995</x:v>
      </x:c>
      <x:c r="B18" s="60"/>
      <x:c r="C18" s="61" t="str">
        <x:v>Legra Gummim. f/skuff 524x472</x:v>
      </x:c>
      <x:c r="D18" s="62"/>
      <x:c r="E18" s="63" t="n">
        <x:v>4</x:v>
      </x:c>
      <x:c r="F18" s="64" t="n">
        <x:v>0.25</x:v>
      </x:c>
      <x:c r="G18" s="65" t="n">
        <x:v>615.6</x:v>
      </x:c>
    </x:row>
    <x:row r="19" ht="20" customHeight="1">
      <x:c r="A19" s="33" t="str">
        <x:v>1421200800</x:v>
      </x:c>
      <x:c r="B19" s="15" t="n">
        <x:v>1</x:v>
      </x:c>
      <x:c r="C19" s="27" t="str">
        <x:v>Underskap 80cm, 2 hyller, 2 dører h700</x:v>
      </x:c>
      <x:c r="D19" s="43"/>
      <x:c r="E19" s="46" t="n">
        <x:v>1</x:v>
      </x:c>
      <x:c r="F19" s="47" t="n">
        <x:v>0.25</x:v>
      </x:c>
      <x:c r="G19" s="45" t="n">
        <x:v>4355.21</x:v>
      </x:c>
    </x:row>
    <x:row r="20" ht="20" customHeight="1">
      <x:c r="A20" s="59" t="str">
        <x:v>14V2120080028</x:v>
      </x:c>
      <x:c r="B20" s="60"/>
      <x:c r="C20" s="61" t="str">
        <x:v>Uno Palett</x:v>
      </x:c>
      <x:c r="D20" s="62"/>
      <x:c r="E20" s="63"/>
      <x:c r="F20" s="64"/>
      <x:c r="G20" s="65"/>
    </x:row>
    <x:row r="21" ht="20" customHeight="1">
      <x:c r="A21" s="33" t="str">
        <x:v>14S2122080K1</x:v>
      </x:c>
      <x:c r="B21" s="15"/>
      <x:c r="C21" s="27" t="str">
        <x:v>Nøtt kant. hvitt skrog</x:v>
      </x:c>
      <x:c r="D21" s="43"/>
      <x:c r="E21" s="46"/>
      <x:c r="F21" s="47"/>
      <x:c r="G21" s="45"/>
    </x:row>
    <x:row r="22" ht="20" customHeight="1">
      <x:c r="A22" s="59" t="str">
        <x:v>14344171</x:v>
      </x:c>
      <x:c r="B22" s="60"/>
      <x:c r="C22" s="61" t="str">
        <x:v>Hengsel 110gr m/demping</x:v>
      </x:c>
      <x:c r="D22" s="62"/>
      <x:c r="E22" s="63" t="n">
        <x:v>4</x:v>
      </x:c>
      <x:c r="F22" s="64"/>
      <x:c r="G22" s="65"/>
    </x:row>
    <x:row r="23" ht="20" customHeight="1">
      <x:c r="A23" s="33" t="str">
        <x:v>4307-B83G</x:v>
      </x:c>
      <x:c r="B23" s="15"/>
      <x:c r="C23" s="27" t="str">
        <x:v>Eggedal NCS 4307-B83G</x:v>
      </x:c>
      <x:c r="D23" s="43"/>
      <x:c r="E23" s="46"/>
      <x:c r="F23" s="47"/>
      <x:c r="G23" s="45"/>
    </x:row>
    <x:row r="24" ht="20" customHeight="1">
      <x:c r="A24" s="59" t="str">
        <x:v>1421430600</x:v>
      </x:c>
      <x:c r="B24" s="60" t="n">
        <x:v>5</x:v>
      </x:c>
      <x:c r="C24" s="61" t="str">
        <x:v>Underskap for ovn 60cm, Uttrekkbar gitterskuff, h92 nr30, metalrail</x:v>
      </x:c>
      <x:c r="D24" s="62"/>
      <x:c r="E24" s="63" t="n">
        <x:v>1</x:v>
      </x:c>
      <x:c r="F24" s="64" t="n">
        <x:v>0.25</x:v>
      </x:c>
      <x:c r="G24" s="65" t="n">
        <x:v>2425.3</x:v>
      </x:c>
    </x:row>
    <x:row r="25" ht="20" customHeight="1">
      <x:c r="A25" s="33" t="str">
        <x:v>14V2143060028</x:v>
      </x:c>
      <x:c r="B25" s="15"/>
      <x:c r="C25" s="27" t="str">
        <x:v>Uno Palett</x:v>
      </x:c>
      <x:c r="D25" s="43"/>
      <x:c r="E25" s="46"/>
      <x:c r="F25" s="47"/>
      <x:c r="G25" s="45"/>
    </x:row>
    <x:row r="26" ht="20" customHeight="1">
      <x:c r="A26" s="59" t="str">
        <x:v>14S2140060K1</x:v>
      </x:c>
      <x:c r="B26" s="60"/>
      <x:c r="C26" s="61" t="str">
        <x:v>Nøtt kant. hvitt skrog</x:v>
      </x:c>
      <x:c r="D26" s="62"/>
      <x:c r="E26" s="63"/>
      <x:c r="F26" s="64"/>
      <x:c r="G26" s="65"/>
    </x:row>
    <x:row r="27" ht="20" customHeight="1">
      <x:c r="A27" s="33" t="str">
        <x:v>4307-B83G</x:v>
      </x:c>
      <x:c r="B27" s="15"/>
      <x:c r="C27" s="27" t="str">
        <x:v>Eggedal NCS 4307-B83G</x:v>
      </x:c>
      <x:c r="D27" s="43"/>
      <x:c r="E27" s="46"/>
      <x:c r="F27" s="47"/>
      <x:c r="G27" s="45"/>
    </x:row>
    <x:row r="28" ht="20" customHeight="1">
      <x:c r="A28" s="59" t="str">
        <x:v>1421200602</x:v>
      </x:c>
      <x:c r="B28" s="60" t="n">
        <x:v>6</x:v>
      </x:c>
      <x:c r="C28" s="61" t="str">
        <x:v>Underskap 60cm H, 2 hyller, 1 dør h700</x:v>
      </x:c>
      <x:c r="D28" s="62"/>
      <x:c r="E28" s="63" t="n">
        <x:v>1</x:v>
      </x:c>
      <x:c r="F28" s="64" t="n">
        <x:v>0.25</x:v>
      </x:c>
      <x:c r="G28" s="65" t="n">
        <x:v>3456.19</x:v>
      </x:c>
    </x:row>
    <x:row r="29" ht="20" customHeight="1">
      <x:c r="A29" s="33" t="str">
        <x:v>14V2120060028</x:v>
      </x:c>
      <x:c r="B29" s="15"/>
      <x:c r="C29" s="27" t="str">
        <x:v>Uno Palett</x:v>
      </x:c>
      <x:c r="D29" s="43"/>
      <x:c r="E29" s="46"/>
      <x:c r="F29" s="47"/>
      <x:c r="G29" s="45"/>
    </x:row>
    <x:row r="30" ht="20" customHeight="1">
      <x:c r="A30" s="59" t="str">
        <x:v>14S2120060K1</x:v>
      </x:c>
      <x:c r="B30" s="60"/>
      <x:c r="C30" s="61" t="str">
        <x:v>Nøtt kant. hvitt skrog</x:v>
      </x:c>
      <x:c r="D30" s="62"/>
      <x:c r="E30" s="63"/>
      <x:c r="F30" s="64"/>
      <x:c r="G30" s="65"/>
    </x:row>
    <x:row r="31" ht="20" customHeight="1">
      <x:c r="A31" s="33" t="str">
        <x:v>14344171</x:v>
      </x:c>
      <x:c r="B31" s="15"/>
      <x:c r="C31" s="27" t="str">
        <x:v>Hengsel 110gr m/demping</x:v>
      </x:c>
      <x:c r="D31" s="43"/>
      <x:c r="E31" s="46" t="n">
        <x:v>2</x:v>
      </x:c>
      <x:c r="F31" s="47"/>
      <x:c r="G31" s="45"/>
    </x:row>
    <x:row r="32" ht="20" customHeight="1">
      <x:c r="A32" s="59" t="str">
        <x:v>4307-B83G</x:v>
      </x:c>
      <x:c r="B32" s="60"/>
      <x:c r="C32" s="61" t="str">
        <x:v>Eggedal NCS 4307-B83G</x:v>
      </x:c>
      <x:c r="D32" s="62"/>
      <x:c r="E32" s="63"/>
      <x:c r="F32" s="64"/>
      <x:c r="G32" s="65"/>
    </x:row>
    <x:row r="33" ht="20" customHeight="1">
      <x:c r="A33" s="33" t="str">
        <x:v>1424350680</x:v>
      </x:c>
      <x:c r="B33" s="15" t="n">
        <x:v>7</x:v>
      </x:c>
      <x:c r="C33" s="27" t="str">
        <x:v>Underskap 60cm, 3 legra skuffer, h124 nrL1 h252 nrL5 h316 nrL6</x:v>
      </x:c>
      <x:c r="D33" s="43"/>
      <x:c r="E33" s="46" t="n">
        <x:v>1</x:v>
      </x:c>
      <x:c r="F33" s="47" t="n">
        <x:v>0.25</x:v>
      </x:c>
      <x:c r="G33" s="45" t="n">
        <x:v>7416.68</x:v>
      </x:c>
    </x:row>
    <x:row r="34" ht="20" customHeight="1">
      <x:c r="A34" s="59" t="str">
        <x:v>14V2435068028</x:v>
      </x:c>
      <x:c r="B34" s="60"/>
      <x:c r="C34" s="61" t="str">
        <x:v>Uno Palett</x:v>
      </x:c>
      <x:c r="D34" s="62"/>
      <x:c r="E34" s="63"/>
      <x:c r="F34" s="64"/>
      <x:c r="G34" s="65"/>
    </x:row>
    <x:row r="35" ht="20" customHeight="1">
      <x:c r="A35" s="33" t="str">
        <x:v>14S2432060K1</x:v>
      </x:c>
      <x:c r="B35" s="15"/>
      <x:c r="C35" s="27" t="str">
        <x:v>Nøtt kant. hvit skrog</x:v>
      </x:c>
      <x:c r="D35" s="43"/>
      <x:c r="E35" s="46"/>
      <x:c r="F35" s="47"/>
      <x:c r="G35" s="45"/>
    </x:row>
    <x:row r="36" ht="20" customHeight="1">
      <x:c r="A36" s="59" t="str">
        <x:v>4307-B83G</x:v>
      </x:c>
      <x:c r="B36" s="60"/>
      <x:c r="C36" s="61" t="str">
        <x:v>Eggedal NCS 4307-B83G</x:v>
      </x:c>
      <x:c r="D36" s="62"/>
      <x:c r="E36" s="63"/>
      <x:c r="F36" s="64"/>
      <x:c r="G36" s="65"/>
    </x:row>
    <x:row r="37" ht="20" customHeight="1">
      <x:c r="A37" s="33" t="str">
        <x:v>14363995</x:v>
      </x:c>
      <x:c r="B37" s="15"/>
      <x:c r="C37" s="27" t="str">
        <x:v>Legra Gummim. f/skuff 524x472</x:v>
      </x:c>
      <x:c r="D37" s="43"/>
      <x:c r="E37" s="46" t="n">
        <x:v>3</x:v>
      </x:c>
      <x:c r="F37" s="47" t="n">
        <x:v>0.25</x:v>
      </x:c>
      <x:c r="G37" s="45" t="n">
        <x:v>461.7</x:v>
      </x:c>
    </x:row>
    <x:row r="38" ht="20" customHeight="1">
      <x:c r="A38" s="59" t="str">
        <x:v>1440100501</x:v>
      </x:c>
      <x:c r="B38" s="60" t="n">
        <x:v>8</x:v>
      </x:c>
      <x:c r="C38" s="61" t="str">
        <x:v>Overskap 50cm K h70.4 V, 2 hyller. 1 dør h700</x:v>
      </x:c>
      <x:c r="D38" s="62"/>
      <x:c r="E38" s="63" t="n">
        <x:v>1</x:v>
      </x:c>
      <x:c r="F38" s="64" t="n">
        <x:v>0.25</x:v>
      </x:c>
      <x:c r="G38" s="65" t="n">
        <x:v>2599.05</x:v>
      </x:c>
    </x:row>
    <x:row r="39" ht="20" customHeight="1">
      <x:c r="A39" s="33" t="str">
        <x:v>14V4010050028</x:v>
      </x:c>
      <x:c r="B39" s="15"/>
      <x:c r="C39" s="27" t="str">
        <x:v>Uno Palett</x:v>
      </x:c>
      <x:c r="D39" s="43"/>
      <x:c r="E39" s="46"/>
      <x:c r="F39" s="47"/>
      <x:c r="G39" s="45"/>
    </x:row>
    <x:row r="40" ht="20" customHeight="1">
      <x:c r="A40" s="59" t="str">
        <x:v>14S4010050K1</x:v>
      </x:c>
      <x:c r="B40" s="60"/>
      <x:c r="C40" s="61" t="str">
        <x:v>Nøtt kant. hvitt skrog</x:v>
      </x:c>
      <x:c r="D40" s="62"/>
      <x:c r="E40" s="63"/>
      <x:c r="F40" s="64"/>
      <x:c r="G40" s="65"/>
    </x:row>
    <x:row r="41" ht="20" customHeight="1">
      <x:c r="A41" s="33" t="str">
        <x:v>14344171</x:v>
      </x:c>
      <x:c r="B41" s="15"/>
      <x:c r="C41" s="27" t="str">
        <x:v>Hengsel 110gr m/demping</x:v>
      </x:c>
      <x:c r="D41" s="43"/>
      <x:c r="E41" s="46" t="n">
        <x:v>2</x:v>
      </x:c>
      <x:c r="F41" s="47"/>
      <x:c r="G41" s="45"/>
    </x:row>
    <x:row r="42" ht="20" customHeight="1">
      <x:c r="A42" s="59" t="str">
        <x:v>4307-B83G</x:v>
      </x:c>
      <x:c r="B42" s="60"/>
      <x:c r="C42" s="61" t="str">
        <x:v>Eggedal NCS 4307-B83G</x:v>
      </x:c>
      <x:c r="D42" s="62"/>
      <x:c r="E42" s="63"/>
      <x:c r="F42" s="64"/>
      <x:c r="G42" s="65"/>
    </x:row>
    <x:row r="43" ht="20" customHeight="1">
      <x:c r="A43" s="33" t="str">
        <x:v>1440100401</x:v>
      </x:c>
      <x:c r="B43" s="15" t="n">
        <x:v>9</x:v>
      </x:c>
      <x:c r="C43" s="27" t="str">
        <x:v>Overskap 40cm K h70.4 V, 2 hyller. 1 dør h700</x:v>
      </x:c>
      <x:c r="D43" s="43"/>
      <x:c r="E43" s="46" t="n">
        <x:v>1</x:v>
      </x:c>
      <x:c r="F43" s="47" t="n">
        <x:v>0.25</x:v>
      </x:c>
      <x:c r="G43" s="45" t="n">
        <x:v>2333.53</x:v>
      </x:c>
    </x:row>
    <x:row r="44" ht="20" customHeight="1">
      <x:c r="A44" s="59" t="str">
        <x:v>14V4010040028</x:v>
      </x:c>
      <x:c r="B44" s="60"/>
      <x:c r="C44" s="61" t="str">
        <x:v>Uno Palett</x:v>
      </x:c>
      <x:c r="D44" s="62"/>
      <x:c r="E44" s="63"/>
      <x:c r="F44" s="64"/>
      <x:c r="G44" s="65"/>
    </x:row>
    <x:row r="45" ht="20" customHeight="1">
      <x:c r="A45" s="33" t="str">
        <x:v>14S4010040K1</x:v>
      </x:c>
      <x:c r="B45" s="15"/>
      <x:c r="C45" s="27" t="str">
        <x:v>Nøtt kant. hvitt skrog</x:v>
      </x:c>
      <x:c r="D45" s="43"/>
      <x:c r="E45" s="46"/>
      <x:c r="F45" s="47"/>
      <x:c r="G45" s="45"/>
    </x:row>
    <x:row r="46" ht="20" customHeight="1">
      <x:c r="A46" s="59" t="str">
        <x:v>14344171</x:v>
      </x:c>
      <x:c r="B46" s="60"/>
      <x:c r="C46" s="61" t="str">
        <x:v>Hengsel 110gr m/demping</x:v>
      </x:c>
      <x:c r="D46" s="62"/>
      <x:c r="E46" s="63" t="n">
        <x:v>2</x:v>
      </x:c>
      <x:c r="F46" s="64"/>
      <x:c r="G46" s="65"/>
    </x:row>
    <x:row r="47" ht="20" customHeight="1">
      <x:c r="A47" s="33" t="str">
        <x:v>4307-B83G</x:v>
      </x:c>
      <x:c r="B47" s="15"/>
      <x:c r="C47" s="27" t="str">
        <x:v>Eggedal NCS 4307-B83G</x:v>
      </x:c>
      <x:c r="D47" s="43"/>
      <x:c r="E47" s="46"/>
      <x:c r="F47" s="47"/>
      <x:c r="G47" s="45"/>
    </x:row>
    <x:row r="48" ht="20" customHeight="1">
      <x:c r="A48" s="59" t="str">
        <x:v>1440100501</x:v>
      </x:c>
      <x:c r="B48" s="60" t="n">
        <x:v>10</x:v>
      </x:c>
      <x:c r="C48" s="61" t="str">
        <x:v>Overskap 50cm K h70.4 V, 2 hyller. 1 dør h700</x:v>
      </x:c>
      <x:c r="D48" s="62"/>
      <x:c r="E48" s="63" t="n">
        <x:v>1</x:v>
      </x:c>
      <x:c r="F48" s="64" t="n">
        <x:v>0.25</x:v>
      </x:c>
      <x:c r="G48" s="65" t="n">
        <x:v>2599.05</x:v>
      </x:c>
    </x:row>
    <x:row r="49" ht="20" customHeight="1">
      <x:c r="A49" s="33" t="str">
        <x:v>14V4010050028</x:v>
      </x:c>
      <x:c r="B49" s="15"/>
      <x:c r="C49" s="27" t="str">
        <x:v>Uno Palett</x:v>
      </x:c>
      <x:c r="D49" s="43"/>
      <x:c r="E49" s="46"/>
      <x:c r="F49" s="47"/>
      <x:c r="G49" s="45"/>
    </x:row>
    <x:row r="50" ht="20" customHeight="1">
      <x:c r="A50" s="59" t="str">
        <x:v>14S4010050K1</x:v>
      </x:c>
      <x:c r="B50" s="60"/>
      <x:c r="C50" s="61" t="str">
        <x:v>Nøtt kant. hvitt skrog</x:v>
      </x:c>
      <x:c r="D50" s="62"/>
      <x:c r="E50" s="63"/>
      <x:c r="F50" s="64"/>
      <x:c r="G50" s="65"/>
    </x:row>
    <x:row r="51" ht="20" customHeight="1">
      <x:c r="A51" s="33" t="str">
        <x:v>14344171</x:v>
      </x:c>
      <x:c r="B51" s="15"/>
      <x:c r="C51" s="27" t="str">
        <x:v>Hengsel 110gr m/demping</x:v>
      </x:c>
      <x:c r="D51" s="43"/>
      <x:c r="E51" s="46" t="n">
        <x:v>2</x:v>
      </x:c>
      <x:c r="F51" s="47"/>
      <x:c r="G51" s="45"/>
    </x:row>
    <x:row r="52" ht="20" customHeight="1">
      <x:c r="A52" s="59" t="str">
        <x:v>4307-B83G</x:v>
      </x:c>
      <x:c r="B52" s="60"/>
      <x:c r="C52" s="61" t="str">
        <x:v>Eggedal NCS 4307-B83G</x:v>
      </x:c>
      <x:c r="D52" s="62"/>
      <x:c r="E52" s="63"/>
      <x:c r="F52" s="64"/>
      <x:c r="G52" s="65"/>
    </x:row>
    <x:row r="53" ht="20" customHeight="1">
      <x:c r="A53" s="33" t="str">
        <x:v>1450100601</x:v>
      </x:c>
      <x:c r="B53" s="15" t="n">
        <x:v>13</x:v>
      </x:c>
      <x:c r="C53" s="27" t="str">
        <x:v>Overskap 60cm S h86.4 V, 3 hyller. 1 dør h860</x:v>
      </x:c>
      <x:c r="D53" s="43"/>
      <x:c r="E53" s="46" t="n">
        <x:v>1</x:v>
      </x:c>
      <x:c r="F53" s="47" t="n">
        <x:v>0.25</x:v>
      </x:c>
      <x:c r="G53" s="45" t="n">
        <x:v>3239.68</x:v>
      </x:c>
    </x:row>
    <x:row r="54" ht="20" customHeight="1">
      <x:c r="A54" s="59" t="str">
        <x:v>14V5010060028</x:v>
      </x:c>
      <x:c r="B54" s="60"/>
      <x:c r="C54" s="61" t="str">
        <x:v>Uno Palett</x:v>
      </x:c>
      <x:c r="D54" s="62"/>
      <x:c r="E54" s="63"/>
      <x:c r="F54" s="64"/>
      <x:c r="G54" s="65"/>
    </x:row>
    <x:row r="55" ht="20" customHeight="1">
      <x:c r="A55" s="33" t="str">
        <x:v>14S5010060K1</x:v>
      </x:c>
      <x:c r="B55" s="15"/>
      <x:c r="C55" s="27" t="str">
        <x:v>Nøtt kant. hvitt skrog</x:v>
      </x:c>
      <x:c r="D55" s="43"/>
      <x:c r="E55" s="46"/>
      <x:c r="F55" s="47"/>
      <x:c r="G55" s="45"/>
    </x:row>
    <x:row r="56" ht="20" customHeight="1">
      <x:c r="A56" s="59" t="str">
        <x:v>14344171</x:v>
      </x:c>
      <x:c r="B56" s="60"/>
      <x:c r="C56" s="61" t="str">
        <x:v>Hengsel 110gr m/demping</x:v>
      </x:c>
      <x:c r="D56" s="62"/>
      <x:c r="E56" s="63" t="n">
        <x:v>2</x:v>
      </x:c>
      <x:c r="F56" s="64"/>
      <x:c r="G56" s="65"/>
    </x:row>
    <x:row r="57" ht="20" customHeight="1">
      <x:c r="A57" s="33" t="str">
        <x:v>S2005-G70Y</x:v>
      </x:c>
      <x:c r="B57" s="15"/>
      <x:c r="C57" s="27" t="str">
        <x:v>Eggedal NCS S2005-G70Y</x:v>
      </x:c>
      <x:c r="D57" s="43"/>
      <x:c r="E57" s="46"/>
      <x:c r="F57" s="47"/>
      <x:c r="G57" s="45"/>
    </x:row>
    <x:row r="58" ht="20" customHeight="1">
      <x:c r="A58" s="59" t="str">
        <x:v>1450100601</x:v>
      </x:c>
      <x:c r="B58" s="60" t="n">
        <x:v>14</x:v>
      </x:c>
      <x:c r="C58" s="61" t="str">
        <x:v>Overskap 60cm S h86.4 V, 3 hyller. 1 dør h860</x:v>
      </x:c>
      <x:c r="D58" s="62"/>
      <x:c r="E58" s="63" t="n">
        <x:v>1</x:v>
      </x:c>
      <x:c r="F58" s="64" t="n">
        <x:v>0.25</x:v>
      </x:c>
      <x:c r="G58" s="65" t="n">
        <x:v>3239.68</x:v>
      </x:c>
    </x:row>
    <x:row r="59" ht="20" customHeight="1">
      <x:c r="A59" s="33" t="str">
        <x:v>14V5010060028</x:v>
      </x:c>
      <x:c r="B59" s="15"/>
      <x:c r="C59" s="27" t="str">
        <x:v>Uno Palett</x:v>
      </x:c>
      <x:c r="D59" s="43"/>
      <x:c r="E59" s="46"/>
      <x:c r="F59" s="47"/>
      <x:c r="G59" s="45"/>
    </x:row>
    <x:row r="60" ht="20" customHeight="1">
      <x:c r="A60" s="59" t="str">
        <x:v>14S5010060K1</x:v>
      </x:c>
      <x:c r="B60" s="60"/>
      <x:c r="C60" s="61" t="str">
        <x:v>Nøtt kant. hvitt skrog</x:v>
      </x:c>
      <x:c r="D60" s="62"/>
      <x:c r="E60" s="63"/>
      <x:c r="F60" s="64"/>
      <x:c r="G60" s="65"/>
    </x:row>
    <x:row r="61" ht="20" customHeight="1">
      <x:c r="A61" s="33" t="str">
        <x:v>14344171</x:v>
      </x:c>
      <x:c r="B61" s="15"/>
      <x:c r="C61" s="27" t="str">
        <x:v>Hengsel 110gr m/demping</x:v>
      </x:c>
      <x:c r="D61" s="43"/>
      <x:c r="E61" s="46" t="n">
        <x:v>2</x:v>
      </x:c>
      <x:c r="F61" s="47"/>
      <x:c r="G61" s="45"/>
    </x:row>
    <x:row r="62" ht="20" customHeight="1">
      <x:c r="A62" s="59" t="str">
        <x:v>S2005-G70Y</x:v>
      </x:c>
      <x:c r="B62" s="60"/>
      <x:c r="C62" s="61" t="str">
        <x:v>Eggedal NCS S2005-G70Y</x:v>
      </x:c>
      <x:c r="D62" s="62"/>
      <x:c r="E62" s="63"/>
      <x:c r="F62" s="64"/>
      <x:c r="G62" s="65"/>
    </x:row>
    <x:row r="63" ht="20" customHeight="1">
      <x:c r="A63" s="33" t="str">
        <x:v>1450100602</x:v>
      </x:c>
      <x:c r="B63" s="15" t="n">
        <x:v>15</x:v>
      </x:c>
      <x:c r="C63" s="27" t="str">
        <x:v>Overskap 60cm S h86.4 H, 3 hyller. 1 dør h860</x:v>
      </x:c>
      <x:c r="D63" s="43"/>
      <x:c r="E63" s="46" t="n">
        <x:v>1</x:v>
      </x:c>
      <x:c r="F63" s="47" t="n">
        <x:v>0.25</x:v>
      </x:c>
      <x:c r="G63" s="45" t="n">
        <x:v>3239.68</x:v>
      </x:c>
    </x:row>
    <x:row r="64" ht="20" customHeight="1">
      <x:c r="A64" s="59" t="str">
        <x:v>14V5010060028</x:v>
      </x:c>
      <x:c r="B64" s="60"/>
      <x:c r="C64" s="61" t="str">
        <x:v>Uno Palett</x:v>
      </x:c>
      <x:c r="D64" s="62"/>
      <x:c r="E64" s="63"/>
      <x:c r="F64" s="64"/>
      <x:c r="G64" s="65"/>
    </x:row>
    <x:row r="65" ht="20" customHeight="1">
      <x:c r="A65" s="33" t="str">
        <x:v>14S5010060K1</x:v>
      </x:c>
      <x:c r="B65" s="15"/>
      <x:c r="C65" s="27" t="str">
        <x:v>Nøtt kant. hvitt skrog</x:v>
      </x:c>
      <x:c r="D65" s="43"/>
      <x:c r="E65" s="46"/>
      <x:c r="F65" s="47"/>
      <x:c r="G65" s="45"/>
    </x:row>
    <x:row r="66" ht="20" customHeight="1">
      <x:c r="A66" s="59" t="str">
        <x:v>14344171</x:v>
      </x:c>
      <x:c r="B66" s="60"/>
      <x:c r="C66" s="61" t="str">
        <x:v>Hengsel 110gr m/demping</x:v>
      </x:c>
      <x:c r="D66" s="62"/>
      <x:c r="E66" s="63" t="n">
        <x:v>2</x:v>
      </x:c>
      <x:c r="F66" s="64"/>
      <x:c r="G66" s="65"/>
    </x:row>
    <x:row r="67" ht="20" customHeight="1">
      <x:c r="A67" s="33" t="str">
        <x:v>S2005-G70Y</x:v>
      </x:c>
      <x:c r="B67" s="15"/>
      <x:c r="C67" s="27" t="str">
        <x:v>Eggedal NCS S2005-G70Y</x:v>
      </x:c>
      <x:c r="D67" s="43"/>
      <x:c r="E67" s="46"/>
      <x:c r="F67" s="47"/>
      <x:c r="G67" s="45"/>
    </x:row>
    <x:row r="68" ht="20" customHeight="1">
      <x:c r="A68" s="59" t="str">
        <x:v>1481160751</x:v>
      </x:c>
      <x:c r="B68" s="60" t="n">
        <x:v>19</x:v>
      </x:c>
      <x:c r="C68" s="61" t="str">
        <x:v>Høyskap 75cm S h211.2 V integr, kjøl/frys 1780 f dør-på-dør, 2 dører h1404+h700</x:v>
      </x:c>
      <x:c r="D68" s="62"/>
      <x:c r="E68" s="63" t="n">
        <x:v>1</x:v>
      </x:c>
      <x:c r="F68" s="64" t="n">
        <x:v>0.25</x:v>
      </x:c>
      <x:c r="G68" s="65" t="n">
        <x:v>11130.37</x:v>
      </x:c>
    </x:row>
    <x:row r="69" ht="20" customHeight="1">
      <x:c r="A69" s="33" t="str">
        <x:v>14V8116075028</x:v>
      </x:c>
      <x:c r="B69" s="15"/>
      <x:c r="C69" s="27" t="str">
        <x:v>Uno Palett</x:v>
      </x:c>
      <x:c r="D69" s="43"/>
      <x:c r="E69" s="46"/>
      <x:c r="F69" s="47"/>
      <x:c r="G69" s="45"/>
    </x:row>
    <x:row r="70" ht="20" customHeight="1">
      <x:c r="A70" s="59" t="str">
        <x:v>14S8116075K1</x:v>
      </x:c>
      <x:c r="B70" s="60"/>
      <x:c r="C70" s="61" t="str">
        <x:v>Nøtt kant. hvitt skrog</x:v>
      </x:c>
      <x:c r="D70" s="62"/>
      <x:c r="E70" s="63"/>
      <x:c r="F70" s="64"/>
      <x:c r="G70" s="65"/>
    </x:row>
    <x:row r="71" ht="20" customHeight="1">
      <x:c r="A71" s="33" t="str">
        <x:v>4307-B83G</x:v>
      </x:c>
      <x:c r="B71" s="15"/>
      <x:c r="C71" s="27" t="str">
        <x:v>Eggedal NCS 4307-B83G</x:v>
      </x:c>
      <x:c r="D71" s="43"/>
      <x:c r="E71" s="46"/>
      <x:c r="F71" s="47"/>
      <x:c r="G71" s="45"/>
    </x:row>
    <x:row r="72" ht="24" customHeight="1">
      <x:c r="A72" s="53"/>
      <x:c r="B72" s="18"/>
      <x:c r="C72" s="67" t="str">
        <x:v>Total Skap</x:v>
      </x:c>
      <x:c r="D72" s="55"/>
      <x:c r="E72" s="56"/>
      <x:c r="F72" s="68" t="n">
        <x:v>0.25</x:v>
      </x:c>
      <x:c r="G72" s="69" t="n">
        <x:v>47111.71</x:v>
      </x:c>
    </x:row>
    <x:row r="73" ht="23" customHeight="1">
      <x:c r="A73" s="53" t="str">
        <x:v>Distanse</x:v>
      </x:c>
      <x:c r="B73" s="18"/>
      <x:c r="C73" s="54"/>
      <x:c r="D73" s="55"/>
      <x:c r="E73" s="56"/>
      <x:c r="F73" s="57"/>
      <x:c r="G73" s="58"/>
    </x:row>
    <x:row r="74" ht="20" customHeight="1">
      <x:c r="A74" s="59" t="str">
        <x:v>14397041</x:v>
      </x:c>
      <x:c r="B74" s="60"/>
      <x:c r="C74" s="61" t="str">
        <x:v>Foring for benkeplate, 10x100x2000</x:v>
      </x:c>
      <x:c r="D74" s="62" t="n">
        <x:v>16000</x:v>
      </x:c>
      <x:c r="E74" s="63" t="n">
        <x:v>8</x:v>
      </x:c>
      <x:c r="F74" s="64" t="n">
        <x:v>0.25</x:v>
      </x:c>
      <x:c r="G74" s="65" t="n">
        <x:v>1956.96</x:v>
      </x:c>
    </x:row>
    <x:row r="75" ht="24" customHeight="1">
      <x:c r="A75" s="53"/>
      <x:c r="B75" s="18"/>
      <x:c r="C75" s="67" t="str">
        <x:v>Total Distanse</x:v>
      </x:c>
      <x:c r="D75" s="55"/>
      <x:c r="E75" s="56"/>
      <x:c r="F75" s="68" t="n">
        <x:v>0.25</x:v>
      </x:c>
      <x:c r="G75" s="69" t="n">
        <x:v>1956.96</x:v>
      </x:c>
    </x:row>
    <x:row r="76" ht="23" customHeight="1">
      <x:c r="A76" s="53" t="str">
        <x:v>Sider</x:v>
      </x:c>
      <x:c r="B76" s="18"/>
      <x:c r="C76" s="54"/>
      <x:c r="D76" s="55"/>
      <x:c r="E76" s="56"/>
      <x:c r="F76" s="57"/>
      <x:c r="G76" s="58"/>
    </x:row>
    <x:row r="77" ht="20" customHeight="1">
      <x:c r="A77" s="33" t="str">
        <x:v>14379804</x:v>
      </x:c>
      <x:c r="B77" s="15"/>
      <x:c r="C77" s="27" t="str">
        <x:v>Dekkside 16mm 704x350</x:v>
      </x:c>
      <x:c r="D77" s="43"/>
      <x:c r="E77" s="46" t="n">
        <x:v>2</x:v>
      </x:c>
      <x:c r="F77" s="47" t="n">
        <x:v>0.25</x:v>
      </x:c>
      <x:c r="G77" s="45" t="n">
        <x:v>1295.51</x:v>
      </x:c>
    </x:row>
    <x:row r="78" ht="20" customHeight="1">
      <x:c r="A78" s="59" t="str">
        <x:v>14V3798040990</x:v>
      </x:c>
      <x:c r="B78" s="60"/>
      <x:c r="C78" s="61" t="str">
        <x:v>Palett</x:v>
      </x:c>
      <x:c r="D78" s="62"/>
      <x:c r="E78" s="63"/>
      <x:c r="F78" s="64"/>
      <x:c r="G78" s="65"/>
    </x:row>
    <x:row r="79" ht="20" customHeight="1">
      <x:c r="A79" s="33" t="str">
        <x:v>4307-B83G</x:v>
      </x:c>
      <x:c r="B79" s="15"/>
      <x:c r="C79" s="27" t="str">
        <x:v>Eggedal NCS 4307-B83G</x:v>
      </x:c>
      <x:c r="D79" s="43"/>
      <x:c r="E79" s="46"/>
      <x:c r="F79" s="47"/>
      <x:c r="G79" s="45"/>
    </x:row>
    <x:row r="80" ht="20" customHeight="1">
      <x:c r="A80" s="59" t="str">
        <x:v>14379807</x:v>
      </x:c>
      <x:c r="B80" s="60"/>
      <x:c r="C80" s="61" t="str">
        <x:v>Dekkside 16mm 704x585</x:v>
      </x:c>
      <x:c r="D80" s="62"/>
      <x:c r="E80" s="63" t="n">
        <x:v>1</x:v>
      </x:c>
      <x:c r="F80" s="64" t="n">
        <x:v>0.25</x:v>
      </x:c>
      <x:c r="G80" s="65" t="n">
        <x:v>1230.47</x:v>
      </x:c>
    </x:row>
    <x:row r="81" ht="20" customHeight="1">
      <x:c r="A81" s="33" t="str">
        <x:v>14V3798070990</x:v>
      </x:c>
      <x:c r="B81" s="15"/>
      <x:c r="C81" s="27" t="str">
        <x:v>Palett</x:v>
      </x:c>
      <x:c r="D81" s="43"/>
      <x:c r="E81" s="46"/>
      <x:c r="F81" s="47"/>
      <x:c r="G81" s="45"/>
    </x:row>
    <x:row r="82" ht="20" customHeight="1">
      <x:c r="A82" s="59" t="str">
        <x:v>4307-B83G</x:v>
      </x:c>
      <x:c r="B82" s="60"/>
      <x:c r="C82" s="61" t="str">
        <x:v>Eggedal NCS 4307-B83G</x:v>
      </x:c>
      <x:c r="D82" s="62"/>
      <x:c r="E82" s="63"/>
      <x:c r="F82" s="64"/>
      <x:c r="G82" s="65"/>
    </x:row>
    <x:row r="83" ht="20" customHeight="1">
      <x:c r="A83" s="33" t="str">
        <x:v>14379905</x:v>
      </x:c>
      <x:c r="B83" s="15"/>
      <x:c r="C83" s="27" t="str">
        <x:v>Støttes.m/rett kant 2400x585</x:v>
      </x:c>
      <x:c r="D83" s="43"/>
      <x:c r="E83" s="46" t="n">
        <x:v>1</x:v>
      </x:c>
      <x:c r="F83" s="47" t="n">
        <x:v>0.25</x:v>
      </x:c>
      <x:c r="G83" s="45" t="n">
        <x:v>2185.62</x:v>
      </x:c>
    </x:row>
    <x:row r="84" ht="20" customHeight="1">
      <x:c r="A84" s="59" t="str">
        <x:v>14V3799050990</x:v>
      </x:c>
      <x:c r="B84" s="60"/>
      <x:c r="C84" s="61" t="str">
        <x:v>Palett</x:v>
      </x:c>
      <x:c r="D84" s="62"/>
      <x:c r="E84" s="63"/>
      <x:c r="F84" s="64"/>
      <x:c r="G84" s="65"/>
    </x:row>
    <x:row r="85" ht="20" customHeight="1">
      <x:c r="A85" s="33" t="str">
        <x:v>4307-B83G</x:v>
      </x:c>
      <x:c r="B85" s="15"/>
      <x:c r="C85" s="27" t="str">
        <x:v>Eggedal NCS 4307-B83G</x:v>
      </x:c>
      <x:c r="D85" s="43"/>
      <x:c r="E85" s="46"/>
      <x:c r="F85" s="47"/>
      <x:c r="G85" s="45"/>
    </x:row>
    <x:row r="86" ht="24" customHeight="1">
      <x:c r="A86" s="53"/>
      <x:c r="B86" s="18"/>
      <x:c r="C86" s="67" t="str">
        <x:v>Total Sider</x:v>
      </x:c>
      <x:c r="D86" s="55"/>
      <x:c r="E86" s="56"/>
      <x:c r="F86" s="68" t="n">
        <x:v>0.25</x:v>
      </x:c>
      <x:c r="G86" s="69" t="n">
        <x:v>4711.61</x:v>
      </x:c>
    </x:row>
    <x:row r="87" ht="23" customHeight="1">
      <x:c r="A87" s="53" t="str">
        <x:v>Foringer</x:v>
      </x:c>
      <x:c r="B87" s="18"/>
      <x:c r="C87" s="54"/>
      <x:c r="D87" s="55"/>
      <x:c r="E87" s="56"/>
      <x:c r="F87" s="57"/>
      <x:c r="G87" s="58"/>
    </x:row>
    <x:row r="88" ht="20" customHeight="1">
      <x:c r="A88" s="59" t="str">
        <x:v>14243039</x:v>
      </x:c>
      <x:c r="B88" s="60"/>
      <x:c r="C88" s="61" t="str">
        <x:v>Lyslist/foring 54x2420</x:v>
      </x:c>
      <x:c r="D88" s="62" t="n">
        <x:v>2420</x:v>
      </x:c>
      <x:c r="E88" s="63" t="n">
        <x:v>1</x:v>
      </x:c>
      <x:c r="F88" s="64" t="n">
        <x:v>0.25</x:v>
      </x:c>
      <x:c r="G88" s="65" t="n">
        <x:v>683.4</x:v>
      </x:c>
    </x:row>
    <x:row r="89" ht="20" customHeight="1">
      <x:c r="A89" s="33" t="str">
        <x:v>14V2430390990</x:v>
      </x:c>
      <x:c r="B89" s="15"/>
      <x:c r="C89" s="27" t="str">
        <x:v>Palett</x:v>
      </x:c>
      <x:c r="D89" s="43"/>
      <x:c r="E89" s="46"/>
      <x:c r="F89" s="47"/>
      <x:c r="G89" s="45"/>
    </x:row>
    <x:row r="90" ht="20" customHeight="1">
      <x:c r="A90" s="59" t="str">
        <x:v>4307-B83G</x:v>
      </x:c>
      <x:c r="B90" s="60"/>
      <x:c r="C90" s="61" t="str">
        <x:v>Eggedal NCS 4307-B83G</x:v>
      </x:c>
      <x:c r="D90" s="62"/>
      <x:c r="E90" s="63"/>
      <x:c r="F90" s="64"/>
      <x:c r="G90" s="65"/>
    </x:row>
    <x:row r="91" ht="24" customHeight="1">
      <x:c r="A91" s="53"/>
      <x:c r="B91" s="18"/>
      <x:c r="C91" s="67" t="str">
        <x:v>Total Foringer</x:v>
      </x:c>
      <x:c r="D91" s="55"/>
      <x:c r="E91" s="56"/>
      <x:c r="F91" s="68" t="n">
        <x:v>0.25</x:v>
      </x:c>
      <x:c r="G91" s="69" t="n">
        <x:v>683.4</x:v>
      </x:c>
    </x:row>
    <x:row r="92" ht="23" customHeight="1">
      <x:c r="A92" s="53" t="str">
        <x:v>Lister</x:v>
      </x:c>
      <x:c r="B92" s="18"/>
      <x:c r="C92" s="54"/>
      <x:c r="D92" s="55"/>
      <x:c r="E92" s="56"/>
      <x:c r="F92" s="57"/>
      <x:c r="G92" s="58"/>
    </x:row>
    <x:row r="93" ht="20" customHeight="1">
      <x:c r="A93" s="33" t="str">
        <x:v>14243039</x:v>
      </x:c>
      <x:c r="B93" s="15"/>
      <x:c r="C93" s="27" t="str">
        <x:v>Lyslist/foring 54x2420</x:v>
      </x:c>
      <x:c r="D93" s="43" t="n">
        <x:v>2400</x:v>
      </x:c>
      <x:c r="E93" s="46" t="n">
        <x:v>1</x:v>
      </x:c>
      <x:c r="F93" s="47" t="n">
        <x:v>0.25</x:v>
      </x:c>
      <x:c r="G93" s="45" t="n">
        <x:v>683.4</x:v>
      </x:c>
    </x:row>
    <x:row r="94" ht="20" customHeight="1">
      <x:c r="A94" s="59" t="str">
        <x:v>14V2430390990</x:v>
      </x:c>
      <x:c r="B94" s="60"/>
      <x:c r="C94" s="61" t="str">
        <x:v>Palett</x:v>
      </x:c>
      <x:c r="D94" s="62"/>
      <x:c r="E94" s="63"/>
      <x:c r="F94" s="64"/>
      <x:c r="G94" s="65"/>
    </x:row>
    <x:row r="95" ht="20" customHeight="1">
      <x:c r="A95" s="33" t="str">
        <x:v>4307-B83G</x:v>
      </x:c>
      <x:c r="B95" s="15"/>
      <x:c r="C95" s="27" t="str">
        <x:v>Eggedal NCS 4307-B83G</x:v>
      </x:c>
      <x:c r="D95" s="43"/>
      <x:c r="E95" s="46"/>
      <x:c r="F95" s="47"/>
      <x:c r="G95" s="45"/>
    </x:row>
    <x:row r="96" ht="20" customHeight="1">
      <x:c r="A96" s="59" t="str">
        <x:v>14243039</x:v>
      </x:c>
      <x:c r="B96" s="60"/>
      <x:c r="C96" s="61" t="str">
        <x:v>Lyslist/foring 54x2420</x:v>
      </x:c>
      <x:c r="D96" s="62" t="n">
        <x:v>4800</x:v>
      </x:c>
      <x:c r="E96" s="63" t="n">
        <x:v>2</x:v>
      </x:c>
      <x:c r="F96" s="64" t="n">
        <x:v>0.25</x:v>
      </x:c>
      <x:c r="G96" s="65" t="n">
        <x:v>1366.79</x:v>
      </x:c>
    </x:row>
    <x:row r="97" ht="20" customHeight="1">
      <x:c r="A97" s="33" t="str">
        <x:v>14V2430390990</x:v>
      </x:c>
      <x:c r="B97" s="15"/>
      <x:c r="C97" s="27" t="str">
        <x:v>Palett</x:v>
      </x:c>
      <x:c r="D97" s="43"/>
      <x:c r="E97" s="46"/>
      <x:c r="F97" s="47"/>
      <x:c r="G97" s="45"/>
    </x:row>
    <x:row r="98" ht="20" customHeight="1">
      <x:c r="A98" s="59" t="str">
        <x:v>S2005-G70Y</x:v>
      </x:c>
      <x:c r="B98" s="60"/>
      <x:c r="C98" s="61" t="str">
        <x:v>Eggedal NCS S2005-G70Y</x:v>
      </x:c>
      <x:c r="D98" s="62"/>
      <x:c r="E98" s="63"/>
      <x:c r="F98" s="64"/>
      <x:c r="G98" s="65"/>
    </x:row>
    <x:row r="99" ht="24" customHeight="1">
      <x:c r="A99" s="53"/>
      <x:c r="B99" s="18"/>
      <x:c r="C99" s="67" t="str">
        <x:v>Total Lister</x:v>
      </x:c>
      <x:c r="D99" s="55"/>
      <x:c r="E99" s="56"/>
      <x:c r="F99" s="68" t="n">
        <x:v>0.25</x:v>
      </x:c>
      <x:c r="G99" s="69" t="n">
        <x:v>2050.19</x:v>
      </x:c>
    </x:row>
    <x:row r="100" ht="23" customHeight="1">
      <x:c r="A100" s="53" t="str">
        <x:v>Sokler</x:v>
      </x:c>
      <x:c r="B100" s="18"/>
      <x:c r="C100" s="54"/>
      <x:c r="D100" s="55"/>
      <x:c r="E100" s="56"/>
      <x:c r="F100" s="57"/>
      <x:c r="G100" s="58"/>
    </x:row>
    <x:row r="101" ht="20" customHeight="1">
      <x:c r="A101" s="33" t="str">
        <x:v>143611350000</x:v>
      </x:c>
      <x:c r="B101" s="15"/>
      <x:c r="C101" s="27" t="str">
        <x:v>Sokkelben pk (4 ben + 4 klips)</x:v>
      </x:c>
      <x:c r="D101" s="43"/>
      <x:c r="E101" s="46" t="n">
        <x:v>9</x:v>
      </x:c>
      <x:c r="F101" s="47" t="n">
        <x:v>0.25</x:v>
      </x:c>
      <x:c r="G101" s="45" t="n">
        <x:v>918.54</x:v>
      </x:c>
    </x:row>
    <x:row r="102" ht="20" customHeight="1">
      <x:c r="A102" s="59" t="str">
        <x:v>14251121</x:v>
      </x:c>
      <x:c r="B102" s="60"/>
      <x:c r="C102" s="61" t="str">
        <x:v>Sokkelende 505x166</x:v>
      </x:c>
      <x:c r="D102" s="62"/>
      <x:c r="E102" s="63" t="n">
        <x:v>3</x:v>
      </x:c>
      <x:c r="F102" s="64" t="n">
        <x:v>0.25</x:v>
      </x:c>
      <x:c r="G102" s="65" t="n">
        <x:v>1085.24</x:v>
      </x:c>
    </x:row>
    <x:row r="103" ht="20" customHeight="1">
      <x:c r="A103" s="33" t="str">
        <x:v>14V2511210990</x:v>
      </x:c>
      <x:c r="B103" s="15"/>
      <x:c r="C103" s="27" t="str">
        <x:v>Palett</x:v>
      </x:c>
      <x:c r="D103" s="43"/>
      <x:c r="E103" s="46"/>
      <x:c r="F103" s="47"/>
      <x:c r="G103" s="45"/>
    </x:row>
    <x:row r="104" ht="20" customHeight="1">
      <x:c r="A104" s="59" t="str">
        <x:v>4307-B83G</x:v>
      </x:c>
      <x:c r="B104" s="60"/>
      <x:c r="C104" s="61" t="str">
        <x:v>Eggedal NCS 4307-B83G</x:v>
      </x:c>
      <x:c r="D104" s="62"/>
      <x:c r="E104" s="63"/>
      <x:c r="F104" s="64"/>
      <x:c r="G104" s="65"/>
    </x:row>
    <x:row r="105" ht="20" customHeight="1">
      <x:c r="A105" s="33" t="str">
        <x:v>14251120</x:v>
      </x:c>
      <x:c r="B105" s="15"/>
      <x:c r="C105" s="27" t="str">
        <x:v>Sokkelfront 2420x166</x:v>
      </x:c>
      <x:c r="D105" s="43" t="n">
        <x:v>9680</x:v>
      </x:c>
      <x:c r="E105" s="46" t="n">
        <x:v>4</x:v>
      </x:c>
      <x:c r="F105" s="47" t="n">
        <x:v>0.25</x:v>
      </x:c>
      <x:c r="G105" s="45" t="n">
        <x:v>2986.63</x:v>
      </x:c>
    </x:row>
    <x:row r="106" ht="20" customHeight="1">
      <x:c r="A106" s="59" t="str">
        <x:v>14V2511200990</x:v>
      </x:c>
      <x:c r="B106" s="60"/>
      <x:c r="C106" s="61" t="str">
        <x:v>Palett</x:v>
      </x:c>
      <x:c r="D106" s="62"/>
      <x:c r="E106" s="63"/>
      <x:c r="F106" s="64"/>
      <x:c r="G106" s="65"/>
    </x:row>
    <x:row r="107" ht="20" customHeight="1">
      <x:c r="A107" s="33" t="str">
        <x:v>4307-B83G</x:v>
      </x:c>
      <x:c r="B107" s="15"/>
      <x:c r="C107" s="27" t="str">
        <x:v>Eggedal NCS 4307-B83G</x:v>
      </x:c>
      <x:c r="D107" s="43"/>
      <x:c r="E107" s="46"/>
      <x:c r="F107" s="47"/>
      <x:c r="G107" s="45"/>
    </x:row>
    <x:row r="108" ht="24" customHeight="1">
      <x:c r="A108" s="53"/>
      <x:c r="B108" s="18"/>
      <x:c r="C108" s="67" t="str">
        <x:v>Total Sokler</x:v>
      </x:c>
      <x:c r="D108" s="55"/>
      <x:c r="E108" s="56"/>
      <x:c r="F108" s="68" t="n">
        <x:v>0.25</x:v>
      </x:c>
      <x:c r="G108" s="69" t="n">
        <x:v>4990.41</x:v>
      </x:c>
    </x:row>
    <x:row r="109" ht="23" customHeight="1">
      <x:c r="A109" s="53" t="str">
        <x:v>Tilbehør</x:v>
      </x:c>
      <x:c r="B109" s="18"/>
      <x:c r="C109" s="54"/>
      <x:c r="D109" s="55"/>
      <x:c r="E109" s="56"/>
      <x:c r="F109" s="57"/>
      <x:c r="G109" s="58"/>
    </x:row>
    <x:row r="110" ht="20" customHeight="1">
      <x:c r="A110" s="59" t="str">
        <x:v>143679690000</x:v>
      </x:c>
      <x:c r="B110" s="60"/>
      <x:c r="C110" s="61" t="str">
        <x:v>Lufterist Alu. 500x86</x:v>
      </x:c>
      <x:c r="D110" s="62"/>
      <x:c r="E110" s="63" t="n">
        <x:v>1</x:v>
      </x:c>
      <x:c r="F110" s="64" t="n">
        <x:v>0.25</x:v>
      </x:c>
      <x:c r="G110" s="65" t="n">
        <x:v>202.5</x:v>
      </x:c>
    </x:row>
    <x:row r="111" ht="24" customHeight="1">
      <x:c r="A111" s="53"/>
      <x:c r="B111" s="18"/>
      <x:c r="C111" s="67" t="str">
        <x:v>Total Tilbehør</x:v>
      </x:c>
      <x:c r="D111" s="55"/>
      <x:c r="E111" s="56"/>
      <x:c r="F111" s="68" t="n">
        <x:v>0.25</x:v>
      </x:c>
      <x:c r="G111" s="69" t="n">
        <x:v>202.5</x:v>
      </x:c>
    </x:row>
    <x:row r="112" ht="24" customHeight="1">
      <x:c r="A112" s="53"/>
      <x:c r="B112" s="18"/>
      <x:c r="C112" s="67" t="str">
        <x:v>Total Sigdal</x:v>
      </x:c>
      <x:c r="D112" s="55"/>
      <x:c r="E112" s="56"/>
      <x:c r="F112" s="68" t="n">
        <x:v>0.25</x:v>
      </x:c>
      <x:c r="G112" s="69" t="n">
        <x:v>61706.77</x:v>
      </x:c>
    </x:row>
    <x:row r="113" ht="24" customHeight="1">
      <x:c r="A113" s="53"/>
      <x:c r="B113" s="18"/>
      <x:c r="C113" s="67" t="str">
        <x:v>Total Uno Palett</x:v>
      </x:c>
      <x:c r="D113" s="55"/>
      <x:c r="E113" s="56"/>
      <x:c r="F113" s="68" t="n">
        <x:v>0.25</x:v>
      </x:c>
      <x:c r="G113" s="69" t="n">
        <x:v>61706.77</x:v>
      </x:c>
    </x:row>
    <x:row r="114" ht="20" customHeight="1">
      <x:c r="A114" s="33"/>
      <x:c r="B114" s="15"/>
      <x:c r="C114" s="27"/>
      <x:c r="D114" s="43"/>
      <x:c r="E114" s="46"/>
      <x:c r="F114" s="47"/>
      <x:c r="G114" s="45"/>
    </x:row>
    <x:row r="115" ht="20" customHeight="1">
      <x:c r="A115" s="33"/>
      <x:c r="B115" s="15"/>
      <x:c r="C115" s="27"/>
      <x:c r="D115" s="43"/>
      <x:c r="E115" s="46"/>
      <x:c r="F115" s="47"/>
      <x:c r="G115" s="45"/>
    </x:row>
    <x:row r="116" ht="30" customHeight="1">
      <x:c r="A116" s="53" t="str">
        <x:v>Ikke noe skjema</x:v>
      </x:c>
      <x:c r="B116" s="18"/>
      <x:c r="C116" s="54"/>
      <x:c r="D116" s="55"/>
      <x:c r="E116" s="56"/>
      <x:c r="F116" s="57"/>
      <x:c r="G116" s="58"/>
    </x:row>
    <x:row r="117" ht="23" customHeight="1">
      <x:c r="A117" s="53" t="str">
        <x:v>Sigdal</x:v>
      </x:c>
      <x:c r="B117" s="18"/>
      <x:c r="C117" s="54"/>
      <x:c r="D117" s="55"/>
      <x:c r="E117" s="56"/>
      <x:c r="F117" s="57"/>
      <x:c r="G117" s="58"/>
    </x:row>
    <x:row r="118" ht="23" customHeight="1">
      <x:c r="A118" s="53" t="str">
        <x:v>Skap</x:v>
      </x:c>
      <x:c r="B118" s="18"/>
      <x:c r="C118" s="54"/>
      <x:c r="D118" s="55"/>
      <x:c r="E118" s="56"/>
      <x:c r="F118" s="57"/>
      <x:c r="G118" s="58"/>
    </x:row>
    <x:row r="119" ht="20" customHeight="1">
      <x:c r="A119" s="33" t="str">
        <x:v>141594660</x:v>
      </x:c>
      <x:c r="B119" s="15"/>
      <x:c r="C119" s="27" t="str">
        <x:v>Dør f/oppvm/innb ubor 596x700, uten dekklister</x:v>
      </x:c>
      <x:c r="D119" s="43"/>
      <x:c r="E119" s="46" t="n">
        <x:v>1</x:v>
      </x:c>
      <x:c r="F119" s="47" t="n">
        <x:v>0.25</x:v>
      </x:c>
      <x:c r="G119" s="45" t="n">
        <x:v>1356.1</x:v>
      </x:c>
    </x:row>
    <x:row r="120" ht="20" customHeight="1">
      <x:c r="A120" s="59" t="str">
        <x:v>14V159466028</x:v>
      </x:c>
      <x:c r="B120" s="60"/>
      <x:c r="C120" s="61" t="str">
        <x:v>Uno Palett</x:v>
      </x:c>
      <x:c r="D120" s="62"/>
      <x:c r="E120" s="63"/>
      <x:c r="F120" s="64"/>
      <x:c r="G120" s="65"/>
    </x:row>
    <x:row r="121" ht="20" customHeight="1">
      <x:c r="A121" s="33" t="str">
        <x:v>4307-B83G</x:v>
      </x:c>
      <x:c r="B121" s="15"/>
      <x:c r="C121" s="27" t="str">
        <x:v>Eggedal NCS 4307-B83G</x:v>
      </x:c>
      <x:c r="D121" s="43"/>
      <x:c r="E121" s="46"/>
      <x:c r="F121" s="47"/>
      <x:c r="G121" s="45"/>
    </x:row>
    <x:row r="122" ht="20" customHeight="1">
      <x:c r="A122" s="59" t="str">
        <x:v>143679770000</x:v>
      </x:c>
      <x:c r="B122" s="60"/>
      <x:c r="C122" s="61" t="str">
        <x:v>Dekklist 16mm.fr.opv.mask.Stål</x:v>
      </x:c>
      <x:c r="D122" s="62"/>
      <x:c r="E122" s="63" t="n">
        <x:v>1</x:v>
      </x:c>
      <x:c r="F122" s="64" t="n">
        <x:v>0</x:v>
      </x:c>
      <x:c r="G122" s="65" t="n">
        <x:v>329.4</x:v>
      </x:c>
    </x:row>
    <x:row r="123" ht="24" customHeight="1">
      <x:c r="A123" s="53"/>
      <x:c r="B123" s="18"/>
      <x:c r="C123" s="67" t="str">
        <x:v>Total Skap</x:v>
      </x:c>
      <x:c r="D123" s="55"/>
      <x:c r="E123" s="56"/>
      <x:c r="F123" s="70" t="n">
        <x:v>0.2115</x:v>
      </x:c>
      <x:c r="G123" s="69" t="n">
        <x:v>1685.5</x:v>
      </x:c>
    </x:row>
    <x:row r="124" ht="23" customHeight="1">
      <x:c r="A124" s="53" t="str">
        <x:v>Baldakin</x:v>
      </x:c>
      <x:c r="B124" s="18"/>
      <x:c r="C124" s="54"/>
      <x:c r="D124" s="55"/>
      <x:c r="E124" s="56"/>
      <x:c r="F124" s="57"/>
      <x:c r="G124" s="58"/>
    </x:row>
    <x:row r="125" ht="20" customHeight="1">
      <x:c r="A125" s="33" t="str">
        <x:v>14429993</x:v>
      </x:c>
      <x:c r="B125" s="15"/>
      <x:c r="C125" s="27" t="str">
        <x:v>Baldakin 16mm d585 måltilp, lengde 50-2400, dybde 351-585</x:v>
      </x:c>
      <x:c r="D125" s="43" t="n">
        <x:v>816</x:v>
      </x:c>
      <x:c r="E125" s="46" t="n">
        <x:v>1</x:v>
      </x:c>
      <x:c r="F125" s="47" t="n">
        <x:v>0.25</x:v>
      </x:c>
      <x:c r="G125" s="45" t="n">
        <x:v>1211.28</x:v>
      </x:c>
    </x:row>
    <x:row r="126" ht="20" customHeight="1">
      <x:c r="A126" s="59" t="str">
        <x:v>14V4211930990</x:v>
      </x:c>
      <x:c r="B126" s="60"/>
      <x:c r="C126" s="61" t="str">
        <x:v>Palett</x:v>
      </x:c>
      <x:c r="D126" s="62"/>
      <x:c r="E126" s="63"/>
      <x:c r="F126" s="64"/>
      <x:c r="G126" s="65"/>
    </x:row>
    <x:row r="127" ht="20" customHeight="1">
      <x:c r="A127" s="33" t="str">
        <x:v>4307-B83G</x:v>
      </x:c>
      <x:c r="B127" s="15"/>
      <x:c r="C127" s="27" t="str">
        <x:v>Eggedal NCS 4307-B83G</x:v>
      </x:c>
      <x:c r="D127" s="43"/>
      <x:c r="E127" s="46"/>
      <x:c r="F127" s="47"/>
      <x:c r="G127" s="45"/>
    </x:row>
    <x:row r="128" ht="24" customHeight="1">
      <x:c r="A128" s="53"/>
      <x:c r="B128" s="18"/>
      <x:c r="C128" s="67" t="str">
        <x:v>Total Baldakin</x:v>
      </x:c>
      <x:c r="D128" s="55"/>
      <x:c r="E128" s="56"/>
      <x:c r="F128" s="68" t="n">
        <x:v>0.25</x:v>
      </x:c>
      <x:c r="G128" s="69" t="n">
        <x:v>1211.28</x:v>
      </x:c>
    </x:row>
    <x:row r="129" ht="23" customHeight="1">
      <x:c r="A129" s="53" t="str">
        <x:v>Tilbehør</x:v>
      </x:c>
      <x:c r="B129" s="18"/>
      <x:c r="C129" s="54"/>
      <x:c r="D129" s="55"/>
      <x:c r="E129" s="56"/>
      <x:c r="F129" s="57"/>
      <x:c r="G129" s="58"/>
    </x:row>
    <x:row r="130" ht="20" customHeight="1">
      <x:c r="A130" s="59" t="str">
        <x:v>14NC0990</x:v>
      </x:c>
      <x:c r="B130" s="60"/>
      <x:c r="C130" s="61" t="str">
        <x:v>Flekklakk NCSS 20ml</x:v>
      </x:c>
      <x:c r="D130" s="62"/>
      <x:c r="E130" s="63" t="n">
        <x:v>1</x:v>
      </x:c>
      <x:c r="F130" s="64" t="n">
        <x:v>0.25</x:v>
      </x:c>
      <x:c r="G130" s="65" t="n">
        <x:v>97.12</x:v>
      </x:c>
    </x:row>
    <x:row r="131" ht="20" customHeight="1">
      <x:c r="A131" s="33" t="str">
        <x:v>14NCV0990</x:v>
      </x:c>
      <x:c r="B131" s="15"/>
      <x:c r="C131" s="27" t="str">
        <x:v>Flekklakk valgfri NCS 0990</x:v>
      </x:c>
      <x:c r="D131" s="43"/>
      <x:c r="E131" s="46"/>
      <x:c r="F131" s="47"/>
      <x:c r="G131" s="45"/>
    </x:row>
    <x:row r="132" ht="20" customHeight="1">
      <x:c r="A132" s="59" t="str">
        <x:v>4307-B83G</x:v>
      </x:c>
      <x:c r="B132" s="60"/>
      <x:c r="C132" s="61" t="str">
        <x:v>Eggedal NCS 4307-B83G</x:v>
      </x:c>
      <x:c r="D132" s="62"/>
      <x:c r="E132" s="63"/>
      <x:c r="F132" s="64"/>
      <x:c r="G132" s="65"/>
    </x:row>
    <x:row r="133" ht="20" customHeight="1">
      <x:c r="A133" s="33" t="str">
        <x:v>14NC0990</x:v>
      </x:c>
      <x:c r="B133" s="15"/>
      <x:c r="C133" s="27" t="str">
        <x:v>Flekklakk NCSS 20ml</x:v>
      </x:c>
      <x:c r="D133" s="43"/>
      <x:c r="E133" s="46" t="n">
        <x:v>1</x:v>
      </x:c>
      <x:c r="F133" s="47" t="n">
        <x:v>0.25</x:v>
      </x:c>
      <x:c r="G133" s="45" t="n">
        <x:v>97.12</x:v>
      </x:c>
    </x:row>
    <x:row r="134" ht="20" customHeight="1">
      <x:c r="A134" s="59" t="str">
        <x:v>14NCV0990</x:v>
      </x:c>
      <x:c r="B134" s="60"/>
      <x:c r="C134" s="61" t="str">
        <x:v>Flekklakk valgfri NCS 0990</x:v>
      </x:c>
      <x:c r="D134" s="62"/>
      <x:c r="E134" s="63"/>
      <x:c r="F134" s="64"/>
      <x:c r="G134" s="65"/>
    </x:row>
    <x:row r="135" ht="20" customHeight="1">
      <x:c r="A135" s="33" t="str">
        <x:v>S2005-G70Y</x:v>
      </x:c>
      <x:c r="B135" s="15"/>
      <x:c r="C135" s="27" t="str">
        <x:v>Eggedal NCS S2005-G70Y</x:v>
      </x:c>
      <x:c r="D135" s="43"/>
      <x:c r="E135" s="46"/>
      <x:c r="F135" s="47"/>
      <x:c r="G135" s="45"/>
    </x:row>
    <x:row r="136" ht="24" customHeight="1">
      <x:c r="A136" s="53"/>
      <x:c r="B136" s="18"/>
      <x:c r="C136" s="67" t="str">
        <x:v>Total Tilbehør</x:v>
      </x:c>
      <x:c r="D136" s="55"/>
      <x:c r="E136" s="56"/>
      <x:c r="F136" s="68" t="n">
        <x:v>0.25</x:v>
      </x:c>
      <x:c r="G136" s="69" t="n">
        <x:v>194.24</x:v>
      </x:c>
    </x:row>
    <x:row r="137" ht="23" customHeight="1">
      <x:c r="A137" s="53" t="str">
        <x:v>Fra plukkliste</x:v>
      </x:c>
      <x:c r="B137" s="18"/>
      <x:c r="C137" s="54"/>
      <x:c r="D137" s="55"/>
      <x:c r="E137" s="56"/>
      <x:c r="F137" s="57"/>
      <x:c r="G137" s="58"/>
    </x:row>
    <x:row r="138" ht="20" customHeight="1">
      <x:c r="A138" s="59" t="str">
        <x:v>141504691</x:v>
      </x:c>
      <x:c r="B138" s="60"/>
      <x:c r="C138" s="61" t="str">
        <x:v>Dør u/hengsel 60x70 V</x:v>
      </x:c>
      <x:c r="D138" s="62"/>
      <x:c r="E138" s="63" t="n">
        <x:v>1</x:v>
      </x:c>
      <x:c r="F138" s="64" t="n">
        <x:v>0.25</x:v>
      </x:c>
      <x:c r="G138" s="65" t="n">
        <x:v>1356.1</x:v>
      </x:c>
    </x:row>
    <x:row r="139" ht="20" customHeight="1">
      <x:c r="A139" s="33" t="str">
        <x:v>14V150469028</x:v>
      </x:c>
      <x:c r="B139" s="15"/>
      <x:c r="C139" s="27" t="str">
        <x:v>Uno Palett</x:v>
      </x:c>
      <x:c r="D139" s="43"/>
      <x:c r="E139" s="46"/>
      <x:c r="F139" s="47"/>
      <x:c r="G139" s="45"/>
    </x:row>
    <x:row r="140" ht="20" customHeight="1">
      <x:c r="A140" s="59" t="str">
        <x:v>4307-B83G</x:v>
      </x:c>
      <x:c r="B140" s="60"/>
      <x:c r="C140" s="61" t="str">
        <x:v>Eggedal NCS 4307-B83G</x:v>
      </x:c>
      <x:c r="D140" s="62"/>
      <x:c r="E140" s="63"/>
      <x:c r="F140" s="64"/>
      <x:c r="G140" s="65"/>
    </x:row>
    <x:row r="141" ht="20" customHeight="1">
      <x:c r="A141" s="33" t="str">
        <x:v>141504491</x:v>
      </x:c>
      <x:c r="B141" s="15"/>
      <x:c r="C141" s="27" t="str">
        <x:v>Dør u/hengsel 60x86 V</x:v>
      </x:c>
      <x:c r="D141" s="43"/>
      <x:c r="E141" s="46" t="n">
        <x:v>3</x:v>
      </x:c>
      <x:c r="F141" s="47" t="n">
        <x:v>0.25</x:v>
      </x:c>
      <x:c r="G141" s="45" t="n">
        <x:v>4664.39</x:v>
      </x:c>
    </x:row>
    <x:row r="142" ht="20" customHeight="1">
      <x:c r="A142" s="59" t="str">
        <x:v>14V150449028</x:v>
      </x:c>
      <x:c r="B142" s="60"/>
      <x:c r="C142" s="61" t="str">
        <x:v>Uno Palett</x:v>
      </x:c>
      <x:c r="D142" s="62"/>
      <x:c r="E142" s="63"/>
      <x:c r="F142" s="64"/>
      <x:c r="G142" s="65"/>
    </x:row>
    <x:row r="143" ht="20" customHeight="1">
      <x:c r="A143" s="33" t="str">
        <x:v>S2005-G70Y</x:v>
      </x:c>
      <x:c r="B143" s="15"/>
      <x:c r="C143" s="27" t="str">
        <x:v>Eggedal NCS S2005-G70Y</x:v>
      </x:c>
      <x:c r="D143" s="43"/>
      <x:c r="E143" s="46"/>
      <x:c r="F143" s="47"/>
      <x:c r="G143" s="45"/>
    </x:row>
    <x:row r="144" ht="20" customHeight="1">
      <x:c r="A144" s="59" t="str">
        <x:v>141649370</x:v>
      </x:c>
      <x:c r="B144" s="60"/>
      <x:c r="C144" s="61" t="str">
        <x:v>Tandem skuff 60cm nr46, H700 D450. front 348+348, inkl. komplett kildesortering</x:v>
      </x:c>
      <x:c r="D144" s="62"/>
      <x:c r="E144" s="63" t="n">
        <x:v>1</x:v>
      </x:c>
      <x:c r="F144" s="64" t="n">
        <x:v>0.25</x:v>
      </x:c>
      <x:c r="G144" s="65" t="n">
        <x:v>5461.83</x:v>
      </x:c>
    </x:row>
    <x:row r="145" ht="20" customHeight="1">
      <x:c r="A145" s="33" t="str">
        <x:v>14V164937028</x:v>
      </x:c>
      <x:c r="B145" s="15"/>
      <x:c r="C145" s="27" t="str">
        <x:v>Uno Palett</x:v>
      </x:c>
      <x:c r="D145" s="43"/>
      <x:c r="E145" s="46"/>
      <x:c r="F145" s="47"/>
      <x:c r="G145" s="45"/>
    </x:row>
    <x:row r="146" ht="20" customHeight="1">
      <x:c r="A146" s="59" t="str">
        <x:v>4307-B83G</x:v>
      </x:c>
      <x:c r="B146" s="60"/>
      <x:c r="C146" s="61" t="str">
        <x:v>Eggedal NCS 4307-B83G</x:v>
      </x:c>
      <x:c r="D146" s="62"/>
      <x:c r="E146" s="63"/>
      <x:c r="F146" s="64"/>
      <x:c r="G146" s="65"/>
    </x:row>
    <x:row r="147" ht="20" customHeight="1">
      <x:c r="A147" s="33" t="str">
        <x:v>141612730</x:v>
      </x:c>
      <x:c r="B147" s="15"/>
      <x:c r="C147" s="27" t="str">
        <x:v>Tandem skuffefront 596x124 nr1</x:v>
      </x:c>
      <x:c r="D147" s="43"/>
      <x:c r="E147" s="46" t="n">
        <x:v>3</x:v>
      </x:c>
      <x:c r="F147" s="47" t="n">
        <x:v>0.25</x:v>
      </x:c>
      <x:c r="G147" s="45" t="n">
        <x:v>839.32</x:v>
      </x:c>
    </x:row>
    <x:row r="148" ht="20" customHeight="1">
      <x:c r="A148" s="59" t="str">
        <x:v>14V161273028</x:v>
      </x:c>
      <x:c r="B148" s="60"/>
      <x:c r="C148" s="61" t="str">
        <x:v>Uno Palett</x:v>
      </x:c>
      <x:c r="D148" s="62"/>
      <x:c r="E148" s="63"/>
      <x:c r="F148" s="64"/>
      <x:c r="G148" s="65"/>
    </x:row>
    <x:row r="149" ht="20" customHeight="1">
      <x:c r="A149" s="33" t="str">
        <x:v>4307-B83G</x:v>
      </x:c>
      <x:c r="B149" s="15"/>
      <x:c r="C149" s="27" t="str">
        <x:v>Eggedal NCS 4307-B83G</x:v>
      </x:c>
      <x:c r="D149" s="43"/>
      <x:c r="E149" s="46"/>
      <x:c r="F149" s="47"/>
      <x:c r="G149" s="45"/>
    </x:row>
    <x:row r="150" ht="20" customHeight="1">
      <x:c r="A150" s="59" t="str">
        <x:v>141612920</x:v>
      </x:c>
      <x:c r="B150" s="60"/>
      <x:c r="C150" s="61" t="str">
        <x:v>Tandem skuffefront 596x316 nr6</x:v>
      </x:c>
      <x:c r="D150" s="62"/>
      <x:c r="E150" s="63" t="n">
        <x:v>1</x:v>
      </x:c>
      <x:c r="F150" s="64" t="n">
        <x:v>0.25</x:v>
      </x:c>
      <x:c r="G150" s="65" t="n">
        <x:v>619.25</x:v>
      </x:c>
    </x:row>
    <x:row r="151" ht="20" customHeight="1">
      <x:c r="A151" s="33" t="str">
        <x:v>14V161292028</x:v>
      </x:c>
      <x:c r="B151" s="15"/>
      <x:c r="C151" s="27" t="str">
        <x:v>Uno Palett</x:v>
      </x:c>
      <x:c r="D151" s="43"/>
      <x:c r="E151" s="46"/>
      <x:c r="F151" s="47"/>
      <x:c r="G151" s="45"/>
    </x:row>
    <x:row r="152" ht="20" customHeight="1">
      <x:c r="A152" s="59" t="str">
        <x:v>4307-B83G</x:v>
      </x:c>
      <x:c r="B152" s="60"/>
      <x:c r="C152" s="61" t="str">
        <x:v>Eggedal NCS 4307-B83G</x:v>
      </x:c>
      <x:c r="D152" s="62"/>
      <x:c r="E152" s="63"/>
      <x:c r="F152" s="64"/>
      <x:c r="G152" s="65"/>
    </x:row>
    <x:row r="153" ht="24" customHeight="1">
      <x:c r="A153" s="53"/>
      <x:c r="B153" s="18"/>
      <x:c r="C153" s="67" t="str">
        <x:v>Total Fra plukkliste</x:v>
      </x:c>
      <x:c r="D153" s="55"/>
      <x:c r="E153" s="56"/>
      <x:c r="F153" s="68" t="n">
        <x:v>0.25</x:v>
      </x:c>
      <x:c r="G153" s="69" t="n">
        <x:v>12940.88</x:v>
      </x:c>
    </x:row>
    <x:row r="154" ht="24" customHeight="1">
      <x:c r="A154" s="53"/>
      <x:c r="B154" s="18"/>
      <x:c r="C154" s="67" t="str">
        <x:v>Total Sigdal</x:v>
      </x:c>
      <x:c r="D154" s="55"/>
      <x:c r="E154" s="56"/>
      <x:c r="F154" s="70" t="n">
        <x:v>0.2461</x:v>
      </x:c>
      <x:c r="G154" s="69" t="n">
        <x:v>16031.9</x:v>
      </x:c>
    </x:row>
    <x:row r="155" ht="23" customHeight="1">
      <x:c r="A155" s="53" t="str">
        <x:v>Sigvartsen</x:v>
      </x:c>
      <x:c r="B155" s="18"/>
      <x:c r="C155" s="54"/>
      <x:c r="D155" s="55"/>
      <x:c r="E155" s="56"/>
      <x:c r="F155" s="57"/>
      <x:c r="G155" s="58"/>
    </x:row>
    <x:row r="156" ht="23" customHeight="1">
      <x:c r="A156" s="53" t="str">
        <x:v>Benkeplate</x:v>
      </x:c>
      <x:c r="B156" s="18"/>
      <x:c r="C156" s="54"/>
      <x:c r="D156" s="55"/>
      <x:c r="E156" s="56"/>
      <x:c r="F156" s="57"/>
      <x:c r="G156" s="58"/>
    </x:row>
    <x:row r="157" ht="36" customHeight="1">
      <x:c r="A157" s="33" t="str">
        <x:v>005</x:v>
      </x:c>
      <x:c r="B157" s="15"/>
      <x:c r="C157" s="27" t="str">
        <x:v>Bianco Drift 20mm Kompositt Polert Hull til vask, kran og koketopp. ink oppmåling, frakt og montering.</x:v>
      </x:c>
      <x:c r="D157" s="43"/>
      <x:c r="E157" s="46" t="n">
        <x:v>1</x:v>
      </x:c>
      <x:c r="F157" s="47" t="n">
        <x:v>0</x:v>
      </x:c>
      <x:c r="G157" s="45" t="n">
        <x:v>44000</x:v>
      </x:c>
    </x:row>
    <x:row r="158" ht="24" customHeight="1">
      <x:c r="A158" s="53"/>
      <x:c r="B158" s="18"/>
      <x:c r="C158" s="67" t="str">
        <x:v>Total Benkeplate</x:v>
      </x:c>
      <x:c r="D158" s="55"/>
      <x:c r="E158" s="56"/>
      <x:c r="F158" s="68" t="n">
        <x:v>0</x:v>
      </x:c>
      <x:c r="G158" s="69" t="n">
        <x:v>44000</x:v>
      </x:c>
    </x:row>
    <x:row r="159" ht="24" customHeight="1">
      <x:c r="A159" s="53"/>
      <x:c r="B159" s="18"/>
      <x:c r="C159" s="67" t="str">
        <x:v>Total Sigvartsen</x:v>
      </x:c>
      <x:c r="D159" s="55"/>
      <x:c r="E159" s="56"/>
      <x:c r="F159" s="68" t="n">
        <x:v>0</x:v>
      </x:c>
      <x:c r="G159" s="69" t="n">
        <x:v>44000</x:v>
      </x:c>
    </x:row>
    <x:row r="160" ht="23" customHeight="1">
      <x:c r="A160" s="53" t="str">
        <x:v>Blanco</x:v>
      </x:c>
      <x:c r="B160" s="18"/>
      <x:c r="C160" s="54"/>
      <x:c r="D160" s="55"/>
      <x:c r="E160" s="56"/>
      <x:c r="F160" s="57"/>
      <x:c r="G160" s="58"/>
    </x:row>
    <x:row r="161" ht="23" customHeight="1">
      <x:c r="A161" s="53" t="str">
        <x:v>Vask og Blandebatteri</x:v>
      </x:c>
      <x:c r="B161" s="18"/>
      <x:c r="C161" s="54"/>
      <x:c r="D161" s="55"/>
      <x:c r="E161" s="56"/>
      <x:c r="F161" s="57"/>
      <x:c r="G161" s="58"/>
    </x:row>
    <x:row r="162" ht="20" customHeight="1">
      <x:c r="A162" s="59" t="str">
        <x:v>1821606</x:v>
      </x:c>
      <x:c r="B162" s="60"/>
      <x:c r="C162" s="61" t="str">
        <x:v>Blanco Etagon 500 - u Rustfritt stål ink vannlås, infino, Etagon skinner x2</x:v>
      </x:c>
      <x:c r="D162" s="62"/>
      <x:c r="E162" s="63" t="n">
        <x:v>1</x:v>
      </x:c>
      <x:c r="F162" s="64" t="n">
        <x:v>0.1</x:v>
      </x:c>
      <x:c r="G162" s="65" t="n">
        <x:v>9028.8</x:v>
      </x:c>
    </x:row>
    <x:row r="163" ht="20" customHeight="1">
      <x:c r="A163" s="33" t="str">
        <x:v>1856646</x:v>
      </x:c>
      <x:c r="B163" s="15"/>
      <x:c r="C163" s="27" t="str">
        <x:v>Blanco Linus S m/uttrekkstut</x:v>
      </x:c>
      <x:c r="D163" s="43"/>
      <x:c r="E163" s="46" t="n">
        <x:v>1</x:v>
      </x:c>
      <x:c r="F163" s="47" t="n">
        <x:v>0.1</x:v>
      </x:c>
      <x:c r="G163" s="45" t="n">
        <x:v>7493.76</x:v>
      </x:c>
    </x:row>
    <x:row r="164" ht="24" customHeight="1">
      <x:c r="A164" s="53"/>
      <x:c r="B164" s="18"/>
      <x:c r="C164" s="67" t="str">
        <x:v>Total Vask og Blandebatteri</x:v>
      </x:c>
      <x:c r="D164" s="55"/>
      <x:c r="E164" s="56"/>
      <x:c r="F164" s="68" t="n">
        <x:v>0.1</x:v>
      </x:c>
      <x:c r="G164" s="69" t="n">
        <x:v>16522.56</x:v>
      </x:c>
    </x:row>
    <x:row r="165" ht="24" customHeight="1">
      <x:c r="A165" s="53"/>
      <x:c r="B165" s="18"/>
      <x:c r="C165" s="67" t="str">
        <x:v>Total Blanco</x:v>
      </x:c>
      <x:c r="D165" s="55"/>
      <x:c r="E165" s="56"/>
      <x:c r="F165" s="68" t="n">
        <x:v>0.1</x:v>
      </x:c>
      <x:c r="G165" s="69" t="n">
        <x:v>16522.56</x:v>
      </x:c>
    </x:row>
    <x:row r="166" ht="23" customHeight="1">
      <x:c r="A166" s="53" t="str">
        <x:v>Beslag og Design</x:v>
      </x:c>
      <x:c r="B166" s="18"/>
      <x:c r="C166" s="54"/>
      <x:c r="D166" s="55"/>
      <x:c r="E166" s="56"/>
      <x:c r="F166" s="57"/>
      <x:c r="G166" s="58"/>
    </x:row>
    <x:row r="167" ht="23" customHeight="1">
      <x:c r="A167" s="53" t="str">
        <x:v>Håndtak</x:v>
      </x:c>
      <x:c r="B167" s="18"/>
      <x:c r="C167" s="54"/>
      <x:c r="D167" s="55"/>
      <x:c r="E167" s="56"/>
      <x:c r="F167" s="57"/>
      <x:c r="G167" s="58"/>
    </x:row>
    <x:row r="168" ht="20" customHeight="1">
      <x:c r="A168" s="59" t="str">
        <x:v>30927311</x:v>
      </x:c>
      <x:c r="B168" s="60"/>
      <x:c r="C168" s="61" t="str">
        <x:v>Håndtak Helix Stripe - 128mm - Rustfri look</x:v>
      </x:c>
      <x:c r="D168" s="62"/>
      <x:c r="E168" s="63" t="n">
        <x:v>29</x:v>
      </x:c>
      <x:c r="F168" s="64" t="n">
        <x:v>0.1</x:v>
      </x:c>
      <x:c r="G168" s="65" t="n">
        <x:v>4698</x:v>
      </x:c>
    </x:row>
    <x:row r="169" ht="24" customHeight="1">
      <x:c r="A169" s="53"/>
      <x:c r="B169" s="18"/>
      <x:c r="C169" s="67" t="str">
        <x:v>Total Håndtak</x:v>
      </x:c>
      <x:c r="D169" s="55"/>
      <x:c r="E169" s="56"/>
      <x:c r="F169" s="68" t="n">
        <x:v>0.1</x:v>
      </x:c>
      <x:c r="G169" s="69" t="n">
        <x:v>4698</x:v>
      </x:c>
    </x:row>
    <x:row r="170" ht="24" customHeight="1">
      <x:c r="A170" s="53"/>
      <x:c r="B170" s="18"/>
      <x:c r="C170" s="67" t="str">
        <x:v>Total Beslag og Design</x:v>
      </x:c>
      <x:c r="D170" s="55"/>
      <x:c r="E170" s="56"/>
      <x:c r="F170" s="68" t="n">
        <x:v>0.1</x:v>
      </x:c>
      <x:c r="G170" s="69" t="n">
        <x:v>4698</x:v>
      </x:c>
    </x:row>
    <x:row r="171" ht="24" customHeight="1">
      <x:c r="A171" s="53"/>
      <x:c r="B171" s="18"/>
      <x:c r="C171" s="67" t="str">
        <x:v>Total Ikke noe skjema</x:v>
      </x:c>
      <x:c r="D171" s="55"/>
      <x:c r="E171" s="56"/>
      <x:c r="F171" s="70" t="n">
        <x:v>0.0855</x:v>
      </x:c>
      <x:c r="G171" s="69" t="n">
        <x:v>81252.46</x:v>
      </x:c>
    </x:row>
    <x:row r="172" ht="20" customHeight="1">
      <x:c r="A172" s="33"/>
      <x:c r="B172" s="15"/>
      <x:c r="C172" s="27"/>
      <x:c r="D172" s="43"/>
      <x:c r="E172" s="46"/>
      <x:c r="F172" s="47"/>
      <x:c r="G172" s="45"/>
    </x:row>
    <x:row r="173" ht="20" customHeight="1">
      <x:c r="A173" s="33"/>
      <x:c r="B173" s="15"/>
      <x:c r="C173" s="27"/>
      <x:c r="D173" s="43"/>
      <x:c r="E173" s="46"/>
      <x:c r="F173" s="47"/>
      <x:c r="G173" s="45"/>
    </x:row>
    <x:row r="174" ht="25" customHeight="1">
      <x:c r="A174" s="53"/>
      <x:c r="B174" s="18"/>
      <x:c r="C174" s="71" t="str">
        <x:v>Komponenter (Salgpris st.)</x:v>
      </x:c>
      <x:c r="D174" s="72"/>
      <x:c r="E174" s="73"/>
      <x:c r="F174" s="74"/>
      <x:c r="G174" s="75" t="n">
        <x:v>142959.23</x:v>
      </x:c>
    </x:row>
    <x:row r="175" ht="25" customHeight="1">
      <x:c r="A175" s="33"/>
      <x:c r="B175" s="15"/>
      <x:c r="C175" s="66" t="str">
        <x:v>Frakt (8 %)</x:v>
      </x:c>
      <x:c r="D175" s="43"/>
      <x:c r="E175" s="46"/>
      <x:c r="F175" s="47"/>
      <x:c r="G175" s="45" t="n">
        <x:v>11436.74</x:v>
      </x:c>
    </x:row>
    <x:row r="176" ht="25" customHeight="1">
      <x:c r="A176" s="33"/>
      <x:c r="B176" s="15"/>
      <x:c r="C176" s="66" t="str">
        <x:v>Bæring 1-4 etasje</x:v>
      </x:c>
      <x:c r="D176" s="43"/>
      <x:c r="E176" s="46"/>
      <x:c r="F176" s="47"/>
      <x:c r="G176" s="45" t="n">
        <x:v>4500</x:v>
      </x:c>
    </x:row>
    <x:row r="177" ht="25" customHeight="1">
      <x:c r="A177" s="33"/>
      <x:c r="B177" s="15"/>
      <x:c r="C177" s="66" t="str">
        <x:v>Montering</x:v>
      </x:c>
      <x:c r="D177" s="43"/>
      <x:c r="E177" s="46"/>
      <x:c r="F177" s="47"/>
      <x:c r="G177" s="45" t="n">
        <x:v>30000</x:v>
      </x:c>
    </x:row>
    <x:row r="178" ht="25" customHeight="1">
      <x:c r="A178" s="33"/>
      <x:c r="B178" s="15"/>
      <x:c r="C178" s="66" t="str">
        <x:v>Avrunde</x:v>
      </x:c>
      <x:c r="D178" s="43"/>
      <x:c r="E178" s="46"/>
      <x:c r="F178" s="47"/>
      <x:c r="G178" s="45" t="n">
        <x:v>-5.97</x:v>
      </x:c>
    </x:row>
    <x:row r="179" ht="25" customHeight="1">
      <x:c r="A179" s="53"/>
      <x:c r="B179" s="18"/>
      <x:c r="C179" s="71" t="str">
        <x:v>Sum ekskl. mva (Salgpris st.)</x:v>
      </x:c>
      <x:c r="D179" s="72"/>
      <x:c r="E179" s="73"/>
      <x:c r="F179" s="74"/>
      <x:c r="G179" s="75" t="n">
        <x:v>188890</x:v>
      </x:c>
    </x:row>
    <x:row r="180" ht="25" customHeight="1">
      <x:c r="A180" s="33"/>
      <x:c r="B180" s="15"/>
      <x:c r="C180" s="66" t="str">
        <x:v>Mva (25 %)</x:v>
      </x:c>
      <x:c r="D180" s="43"/>
      <x:c r="E180" s="46"/>
      <x:c r="F180" s="47"/>
      <x:c r="G180" s="45" t="n">
        <x:v>47222.5</x:v>
      </x:c>
    </x:row>
    <x:row r="181" ht="25" customHeight="1">
      <x:c r="A181" s="53"/>
      <x:c r="B181" s="18"/>
      <x:c r="C181" s="71" t="str">
        <x:v>Sum (Salgpris st.)</x:v>
      </x:c>
      <x:c r="D181" s="72"/>
      <x:c r="E181" s="73"/>
      <x:c r="F181" s="74"/>
      <x:c r="G181" s="75" t="n">
        <x:v>236112.5</x:v>
      </x:c>
    </x:row>
    <x:row r="182" ht="20" customHeight="1">
      <x:c r="A182" s="33"/>
      <x:c r="B182" s="15"/>
      <x:c r="C182" s="27"/>
      <x:c r="D182" s="43"/>
      <x:c r="E182" s="46"/>
      <x:c r="F182" s="47"/>
      <x:c r="G182" s="45"/>
    </x:row>
    <x:row r="183" ht="23" customHeight="1">
      <x:c r="A183" s="76" t="str">
        <x:v>Kilde: Tilbud Forbruker _ Kjøkken 11.09.pdf, side 2-5.</x:v>
      </x:c>
      <x:c r="B183" s="15"/>
      <x:c r="C183" s="27"/>
      <x:c r="D183" s="43"/>
      <x:c r="E183" s="46"/>
      <x:c r="F183" s="47"/>
      <x:c r="G183" s="45"/>
    </x:row>
    <x:row r="184" ht="23" customHeight="1">
      <x:c r="A184" s="76" t="str">
        <x:v>Beløp og delsummer er kopiert fra tilbudet. Prisene er etter rabatt og ekskl. mva frem til sluttsummen.</x:v>
      </x:c>
      <x:c r="B184" s="15"/>
      <x:c r="C184" s="27"/>
      <x:c r="D184" s="43"/>
      <x:c r="E184" s="46"/>
      <x:c r="F184" s="47"/>
      <x:c r="G184" s="45"/>
    </x:row>
    <x:row r="185" ht="23" customHeight="1">
      <x:c r="A185" s="76" t="str">
        <x:v>Delsummene på denne fanen oppdateres ikke automatisk ved redigering.</x:v>
      </x:c>
      <x:c r="B185" s="15"/>
      <x:c r="C185" s="27"/>
      <x:c r="D185" s="43"/>
      <x:c r="E185" s="46"/>
      <x:c r="F185" s="47"/>
      <x:c r="G185" s="45"/>
    </x:row>
  </x:sheetData>
  <x:mergeCells>
    <x:mergeCell ref="A15:C15"/>
    <x:mergeCell ref="A16:C16"/>
    <x:mergeCell ref="A17:C17"/>
    <x:mergeCell ref="C72:E72"/>
    <x:mergeCell ref="A73:C73"/>
    <x:mergeCell ref="C75:E75"/>
    <x:mergeCell ref="A76:C76"/>
    <x:mergeCell ref="C86:E86"/>
    <x:mergeCell ref="A87:C87"/>
    <x:mergeCell ref="C91:E91"/>
    <x:mergeCell ref="A92:C92"/>
    <x:mergeCell ref="C99:E99"/>
    <x:mergeCell ref="A100:C100"/>
    <x:mergeCell ref="C108:E108"/>
    <x:mergeCell ref="A109:C109"/>
    <x:mergeCell ref="C111:E111"/>
    <x:mergeCell ref="C112:E112"/>
    <x:mergeCell ref="C113:E113"/>
    <x:mergeCell ref="A116:C116"/>
    <x:mergeCell ref="A117:C117"/>
    <x:mergeCell ref="A118:C118"/>
    <x:mergeCell ref="C123:E123"/>
    <x:mergeCell ref="A124:C124"/>
    <x:mergeCell ref="C128:E128"/>
    <x:mergeCell ref="A129:C129"/>
    <x:mergeCell ref="C136:E136"/>
    <x:mergeCell ref="A137:C137"/>
    <x:mergeCell ref="C153:E153"/>
    <x:mergeCell ref="C154:E154"/>
    <x:mergeCell ref="A155:C155"/>
    <x:mergeCell ref="A156:C156"/>
    <x:mergeCell ref="C158:E158"/>
    <x:mergeCell ref="C159:E159"/>
    <x:mergeCell ref="A160:C160"/>
    <x:mergeCell ref="A161:C161"/>
    <x:mergeCell ref="C164:E164"/>
    <x:mergeCell ref="C165:E165"/>
    <x:mergeCell ref="A166:C166"/>
    <x:mergeCell ref="A167:C167"/>
    <x:mergeCell ref="C169:E169"/>
    <x:mergeCell ref="C170:E170"/>
    <x:mergeCell ref="C171:E171"/>
    <x:mergeCell ref="C174:F174"/>
    <x:mergeCell ref="C175:F175"/>
    <x:mergeCell ref="C176:F176"/>
    <x:mergeCell ref="C177:F177"/>
    <x:mergeCell ref="C178:F178"/>
    <x:mergeCell ref="C179:F179"/>
    <x:mergeCell ref="C180:F180"/>
    <x:mergeCell ref="C181:F181"/>
    <x:mergeCell ref="A183:G183"/>
    <x:mergeCell ref="A184:G184"/>
    <x:mergeCell ref="A185:G18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23" hidden="0" customWidth="1"/>
    <x:col min="3" max="3" width="23" hidden="0" customWidth="1"/>
    <x:col min="4" max="4" width="21" hidden="0" customWidth="1"/>
    <x:col min="5" max="5" width="23" hidden="0" customWidth="1"/>
    <x:col min="6" max="6" width="12" hidden="0" customWidth="1"/>
  </x:cols>
  <x:sheetData>
    <x:row r="1" ht="32" customHeight="1">
      <x:c r="A1" s="3" t="str">
        <x:v>Kjøkkentilbud</x:v>
      </x:c>
      <x:c r="B1" s="2"/>
      <x:c r="C1" s="2"/>
      <x:c r="D1" s="2"/>
      <x:c r="E1" s="2"/>
      <x:c r="F1" s="2"/>
    </x:row>
    <x:row r="2" ht="25" customHeight="1">
      <x:c r="A2" s="4" t="str">
        <x:v>Studio Sigdal Vika, 11.09.2026. Tegning 4039, alternativ 2. Alle beløp i NOK.</x:v>
      </x:c>
      <x:c r="B2" s="2"/>
      <x:c r="C2" s="2"/>
      <x:c r="D2" s="2"/>
      <x:c r="E2" s="2"/>
      <x:c r="F2" s="2"/>
    </x:row>
    <x:row r="3" ht="25" customHeight="1">
      <x:c r="A3" s="2"/>
      <x:c r="B3" s="2"/>
      <x:c r="C3" s="2"/>
      <x:c r="D3" s="2"/>
      <x:c r="E3" s="2"/>
      <x:c r="F3" s="2"/>
    </x:row>
    <x:row r="4" ht="44" customHeight="1">
      <x:c r="A4" s="7" t="str">
        <x:v>Kategori</x:v>
      </x:c>
      <x:c r="B4" s="7" t="str">
        <x:v>Sum varelinjer ekskl. mva</x:v>
      </x:c>
      <x:c r="C4" s="7" t="str">
        <x:v>Delsum i PDF ekskl. mva</x:v>
      </x:c>
      <x:c r="D4" s="7" t="str">
        <x:v>Avvik fra PDF</x:v>
      </x:c>
      <x:c r="E4" s="7" t="str">
        <x:v>PDF inkl. mva, beregnet</x:v>
      </x:c>
      <x:c r="F4" s="13" t="str">
        <x:v>PDF-side</x:v>
      </x:c>
    </x:row>
    <x:row r="5" ht="25" customHeight="1">
      <x:c r="A5" s="8" t="str">
        <x:v>Skap, Uno Palett</x:v>
      </x:c>
      <x:c r="B5" s="9" t="n">
        <x:f>SUMIF('Varelinjer'!$B$5:$B$42,A5,'Varelinjer'!$H$5:$H$42)</x:f>
        <x:v>47111.72</x:v>
      </x:c>
      <x:c r="C5" s="9" t="n">
        <x:v>47111.71</x:v>
      </x:c>
      <x:c r="D5" s="9" t="n">
        <x:f>ROUND(B5-C5,2)</x:f>
        <x:v>0.01</x:v>
      </x:c>
      <x:c r="E5" s="9" t="n">
        <x:f>ROUND(C5*(1+$B$39),2)</x:f>
        <x:v>58889.64</x:v>
      </x:c>
      <x:c r="F5" s="14" t="str">
        <x:v>2-3</x:v>
      </x:c>
    </x:row>
    <x:row r="6" ht="25" customHeight="1">
      <x:c r="A6" s="2" t="str">
        <x:v>Distanse, Uno Palett</x:v>
      </x:c>
      <x:c r="B6" s="10" t="n">
        <x:f>SUMIF('Varelinjer'!$B$5:$B$42,A6,'Varelinjer'!$H$5:$H$42)</x:f>
        <x:v>1956.96</x:v>
      </x:c>
      <x:c r="C6" s="10" t="n">
        <x:v>1956.96</x:v>
      </x:c>
      <x:c r="D6" s="10" t="n">
        <x:f>ROUND(B6-C6,2)</x:f>
        <x:v>0</x:v>
      </x:c>
      <x:c r="E6" s="10" t="n">
        <x:f>ROUND(C6*(1+$B$39),2)</x:f>
        <x:v>2446.2</x:v>
      </x:c>
      <x:c r="F6" s="15" t="str">
        <x:v>3</x:v>
      </x:c>
    </x:row>
    <x:row r="7" ht="25" customHeight="1">
      <x:c r="A7" s="8" t="str">
        <x:v>Sider, Uno Palett</x:v>
      </x:c>
      <x:c r="B7" s="9" t="n">
        <x:f>SUMIF('Varelinjer'!$B$5:$B$42,A7,'Varelinjer'!$H$5:$H$42)</x:f>
        <x:v>4711.6</x:v>
      </x:c>
      <x:c r="C7" s="9" t="n">
        <x:v>4711.61</x:v>
      </x:c>
      <x:c r="D7" s="9" t="n">
        <x:f>ROUND(B7-C7,2)</x:f>
        <x:v>-0.01</x:v>
      </x:c>
      <x:c r="E7" s="9" t="n">
        <x:f>ROUND(C7*(1+$B$39),2)</x:f>
        <x:v>5889.51</x:v>
      </x:c>
      <x:c r="F7" s="14" t="str">
        <x:v>3</x:v>
      </x:c>
    </x:row>
    <x:row r="8" ht="25" customHeight="1">
      <x:c r="A8" s="2" t="str">
        <x:v>Foringer, Uno Palett</x:v>
      </x:c>
      <x:c r="B8" s="10" t="n">
        <x:f>SUMIF('Varelinjer'!$B$5:$B$42,A8,'Varelinjer'!$H$5:$H$42)</x:f>
        <x:v>683.4</x:v>
      </x:c>
      <x:c r="C8" s="10" t="n">
        <x:v>683.4</x:v>
      </x:c>
      <x:c r="D8" s="10" t="n">
        <x:f>ROUND(B8-C8,2)</x:f>
        <x:v>0</x:v>
      </x:c>
      <x:c r="E8" s="10" t="n">
        <x:f>ROUND(C8*(1+$B$39),2)</x:f>
        <x:v>854.25</x:v>
      </x:c>
      <x:c r="F8" s="15" t="str">
        <x:v>3</x:v>
      </x:c>
    </x:row>
    <x:row r="9" ht="25" customHeight="1">
      <x:c r="A9" s="8" t="str">
        <x:v>Lister, Uno Palett</x:v>
      </x:c>
      <x:c r="B9" s="9" t="n">
        <x:f>SUMIF('Varelinjer'!$B$5:$B$42,A9,'Varelinjer'!$H$5:$H$42)</x:f>
        <x:v>2050.19</x:v>
      </x:c>
      <x:c r="C9" s="9" t="n">
        <x:v>2050.19</x:v>
      </x:c>
      <x:c r="D9" s="9" t="n">
        <x:f>ROUND(B9-C9,2)</x:f>
        <x:v>0</x:v>
      </x:c>
      <x:c r="E9" s="9" t="n">
        <x:f>ROUND(C9*(1+$B$39),2)</x:f>
        <x:v>2562.74</x:v>
      </x:c>
      <x:c r="F9" s="14" t="str">
        <x:v>3</x:v>
      </x:c>
    </x:row>
    <x:row r="10" ht="25" customHeight="1">
      <x:c r="A10" s="2" t="str">
        <x:v>Sokler, Uno Palett</x:v>
      </x:c>
      <x:c r="B10" s="10" t="n">
        <x:f>SUMIF('Varelinjer'!$B$5:$B$42,A10,'Varelinjer'!$H$5:$H$42)</x:f>
        <x:v>4990.41</x:v>
      </x:c>
      <x:c r="C10" s="10" t="n">
        <x:v>4990.41</x:v>
      </x:c>
      <x:c r="D10" s="10" t="n">
        <x:f>ROUND(B10-C10,2)</x:f>
        <x:v>0</x:v>
      </x:c>
      <x:c r="E10" s="10" t="n">
        <x:f>ROUND(C10*(1+$B$39),2)</x:f>
        <x:v>6238.01</x:v>
      </x:c>
      <x:c r="F10" s="15" t="str">
        <x:v>3</x:v>
      </x:c>
    </x:row>
    <x:row r="11" ht="25" customHeight="1">
      <x:c r="A11" s="8" t="str">
        <x:v>Tilbehør, Uno Palett</x:v>
      </x:c>
      <x:c r="B11" s="9" t="n">
        <x:f>SUMIF('Varelinjer'!$B$5:$B$42,A11,'Varelinjer'!$H$5:$H$42)</x:f>
        <x:v>202.5</x:v>
      </x:c>
      <x:c r="C11" s="9" t="n">
        <x:v>202.5</x:v>
      </x:c>
      <x:c r="D11" s="9" t="n">
        <x:f>ROUND(B11-C11,2)</x:f>
        <x:v>0</x:v>
      </x:c>
      <x:c r="E11" s="9" t="n">
        <x:f>ROUND(C11*(1+$B$39),2)</x:f>
        <x:v>253.13</x:v>
      </x:c>
      <x:c r="F11" s="14" t="str">
        <x:v>3</x:v>
      </x:c>
    </x:row>
    <x:row r="12" ht="25" customHeight="1">
      <x:c r="A12" s="2" t="str">
        <x:v>Skap, øvrig Sigdal</x:v>
      </x:c>
      <x:c r="B12" s="10" t="n">
        <x:f>SUMIF('Varelinjer'!$B$5:$B$42,A12,'Varelinjer'!$H$5:$H$42)</x:f>
        <x:v>1685.5</x:v>
      </x:c>
      <x:c r="C12" s="10" t="n">
        <x:v>1685.5</x:v>
      </x:c>
      <x:c r="D12" s="10" t="n">
        <x:f>ROUND(B12-C12,2)</x:f>
        <x:v>0</x:v>
      </x:c>
      <x:c r="E12" s="10" t="n">
        <x:f>ROUND(C12*(1+$B$39),2)</x:f>
        <x:v>2106.88</x:v>
      </x:c>
      <x:c r="F12" s="15" t="str">
        <x:v>3-4</x:v>
      </x:c>
    </x:row>
    <x:row r="13" ht="25" customHeight="1">
      <x:c r="A13" s="8" t="str">
        <x:v>Baldakin, øvrig Sigdal</x:v>
      </x:c>
      <x:c r="B13" s="9" t="n">
        <x:f>SUMIF('Varelinjer'!$B$5:$B$42,A13,'Varelinjer'!$H$5:$H$42)</x:f>
        <x:v>1211.28</x:v>
      </x:c>
      <x:c r="C13" s="9" t="n">
        <x:v>1211.28</x:v>
      </x:c>
      <x:c r="D13" s="9" t="n">
        <x:f>ROUND(B13-C13,2)</x:f>
        <x:v>0</x:v>
      </x:c>
      <x:c r="E13" s="9" t="n">
        <x:f>ROUND(C13*(1+$B$39),2)</x:f>
        <x:v>1514.1</x:v>
      </x:c>
      <x:c r="F13" s="14" t="str">
        <x:v>4</x:v>
      </x:c>
    </x:row>
    <x:row r="14" ht="25" customHeight="1">
      <x:c r="A14" s="2" t="str">
        <x:v>Tilbehør, øvrig Sigdal</x:v>
      </x:c>
      <x:c r="B14" s="10" t="n">
        <x:f>SUMIF('Varelinjer'!$B$5:$B$42,A14,'Varelinjer'!$H$5:$H$42)</x:f>
        <x:v>194.24</x:v>
      </x:c>
      <x:c r="C14" s="10" t="n">
        <x:v>194.24</x:v>
      </x:c>
      <x:c r="D14" s="10" t="n">
        <x:f>ROUND(B14-C14,2)</x:f>
        <x:v>0</x:v>
      </x:c>
      <x:c r="E14" s="10" t="n">
        <x:f>ROUND(C14*(1+$B$39),2)</x:f>
        <x:v>242.8</x:v>
      </x:c>
      <x:c r="F14" s="15" t="str">
        <x:v>4</x:v>
      </x:c>
    </x:row>
    <x:row r="15" ht="25" customHeight="1">
      <x:c r="A15" s="8" t="str">
        <x:v>Fra plukkliste, øvrig Sigdal</x:v>
      </x:c>
      <x:c r="B15" s="9" t="n">
        <x:f>SUMIF('Varelinjer'!$B$5:$B$42,A15,'Varelinjer'!$H$5:$H$42)</x:f>
        <x:v>12940.89</x:v>
      </x:c>
      <x:c r="C15" s="9" t="n">
        <x:v>12940.88</x:v>
      </x:c>
      <x:c r="D15" s="9" t="n">
        <x:f>ROUND(B15-C15,2)</x:f>
        <x:v>0.01</x:v>
      </x:c>
      <x:c r="E15" s="9" t="n">
        <x:f>ROUND(C15*(1+$B$39),2)</x:f>
        <x:v>16176.1</x:v>
      </x:c>
      <x:c r="F15" s="14" t="str">
        <x:v>4</x:v>
      </x:c>
    </x:row>
    <x:row r="16" ht="25" customHeight="1">
      <x:c r="A16" s="2" t="str">
        <x:v>Benkeplate</x:v>
      </x:c>
      <x:c r="B16" s="10" t="n">
        <x:f>SUMIF('Varelinjer'!$B$5:$B$42,A16,'Varelinjer'!$H$5:$H$42)</x:f>
        <x:v>44000</x:v>
      </x:c>
      <x:c r="C16" s="10" t="n">
        <x:v>44000</x:v>
      </x:c>
      <x:c r="D16" s="10" t="n">
        <x:f>ROUND(B16-C16,2)</x:f>
        <x:v>0</x:v>
      </x:c>
      <x:c r="E16" s="10" t="n">
        <x:f>ROUND(C16*(1+$B$39),2)</x:f>
        <x:v>55000</x:v>
      </x:c>
      <x:c r="F16" s="15" t="str">
        <x:v>4</x:v>
      </x:c>
    </x:row>
    <x:row r="17" ht="25" customHeight="1">
      <x:c r="A17" s="8" t="str">
        <x:v>Vask og Blandebatteri</x:v>
      </x:c>
      <x:c r="B17" s="9" t="n">
        <x:f>SUMIF('Varelinjer'!$B$5:$B$42,A17,'Varelinjer'!$H$5:$H$42)</x:f>
        <x:v>16522.559999999998</x:v>
      </x:c>
      <x:c r="C17" s="9" t="n">
        <x:v>16522.56</x:v>
      </x:c>
      <x:c r="D17" s="9" t="n">
        <x:f>ROUND(B17-C17,2)</x:f>
        <x:v>0</x:v>
      </x:c>
      <x:c r="E17" s="9" t="n">
        <x:f>ROUND(C17*(1+$B$39),2)</x:f>
        <x:v>20653.2</x:v>
      </x:c>
      <x:c r="F17" s="14" t="str">
        <x:v>4</x:v>
      </x:c>
    </x:row>
    <x:row r="18" ht="25" customHeight="1">
      <x:c r="A18" s="2" t="str">
        <x:v>Håndtak</x:v>
      </x:c>
      <x:c r="B18" s="10" t="n">
        <x:f>SUMIF('Varelinjer'!$B$5:$B$42,A18,'Varelinjer'!$H$5:$H$42)</x:f>
        <x:v>4698</x:v>
      </x:c>
      <x:c r="C18" s="10" t="n">
        <x:v>4698</x:v>
      </x:c>
      <x:c r="D18" s="10" t="n">
        <x:f>ROUND(B18-C18,2)</x:f>
        <x:v>0</x:v>
      </x:c>
      <x:c r="E18" s="10" t="n">
        <x:f>ROUND(C18*(1+$B$39),2)</x:f>
        <x:v>5872.5</x:v>
      </x:c>
      <x:c r="F18" s="15" t="str">
        <x:v>4</x:v>
      </x:c>
    </x:row>
    <x:row r="19" ht="25" customHeight="1">
      <x:c r="A19" s="2"/>
      <x:c r="B19" s="10"/>
      <x:c r="C19" s="10"/>
      <x:c r="D19" s="10"/>
      <x:c r="E19" s="10"/>
      <x:c r="F19" s="15"/>
    </x:row>
    <x:row r="20" ht="25" customHeight="1">
      <x:c r="A20" s="19" t="str">
        <x:v>Sum kategorier</x:v>
      </x:c>
      <x:c r="B20" s="20" t="n">
        <x:f>SUM(B5:B18)</x:f>
        <x:v>142959.25</x:v>
      </x:c>
      <x:c r="C20" s="20" t="n">
        <x:f>SUM(C5:C18)</x:f>
        <x:v>142959.24</x:v>
      </x:c>
      <x:c r="D20" s="20" t="n">
        <x:f>ROUND(B20-C20,2)</x:f>
        <x:v>0.01</x:v>
      </x:c>
      <x:c r="E20" s="20" t="n">
        <x:f>ROUND(C20*(1+$B$39),2)</x:f>
        <x:v>178699.05</x:v>
      </x:c>
      <x:c r="F20" s="21"/>
    </x:row>
    <x:row r="21" ht="25" customHeight="1">
      <x:c r="A21" s="2"/>
      <x:c r="B21" s="10"/>
      <x:c r="C21" s="10"/>
      <x:c r="D21" s="10"/>
      <x:c r="E21" s="10"/>
      <x:c r="F21" s="15"/>
    </x:row>
    <x:row r="22" ht="44" customHeight="1">
      <x:c r="A22" s="7" t="str">
        <x:v>Tilbudets totalsum</x:v>
      </x:c>
      <x:c r="B22" s="11" t="str">
        <x:v>Beregnet beløp</x:v>
      </x:c>
      <x:c r="C22" s="11" t="str">
        <x:v>Beløp i PDF</x:v>
      </x:c>
      <x:c r="D22" s="11" t="str">
        <x:v>Avvik fra PDF</x:v>
      </x:c>
      <x:c r="E22" s="11" t="str">
        <x:v>Inkl. mva, beregnet</x:v>
      </x:c>
      <x:c r="F22" s="13" t="str">
        <x:v>PDF-side</x:v>
      </x:c>
    </x:row>
    <x:row r="23" ht="25" customHeight="1">
      <x:c r="A23" s="2" t="str">
        <x:v>Komponenter</x:v>
      </x:c>
      <x:c r="B23" s="10" t="n">
        <x:f>ROUND(B20+B34,2)</x:f>
        <x:v>142959.23</x:v>
      </x:c>
      <x:c r="C23" s="10" t="n">
        <x:v>142959.23</x:v>
      </x:c>
      <x:c r="D23" s="10" t="n">
        <x:f>ROUND(B23-C23,2)</x:f>
        <x:v>0</x:v>
      </x:c>
      <x:c r="E23" s="10" t="n">
        <x:f>ROUND(B23*(1+$B$39),2)</x:f>
        <x:v>178699.04</x:v>
      </x:c>
      <x:c r="F23" s="15" t="str">
        <x:v>4</x:v>
      </x:c>
    </x:row>
    <x:row r="24" ht="25" customHeight="1">
      <x:c r="A24" s="2" t="str">
        <x:v>Frakt, 8 %</x:v>
      </x:c>
      <x:c r="B24" s="10" t="n">
        <x:f>ROUND(B23*$B$40,2)</x:f>
        <x:v>11436.74</x:v>
      </x:c>
      <x:c r="C24" s="10" t="n">
        <x:v>11436.74</x:v>
      </x:c>
      <x:c r="D24" s="10" t="n">
        <x:f>ROUND(B24-C24,2)</x:f>
        <x:v>0</x:v>
      </x:c>
      <x:c r="E24" s="10" t="n">
        <x:f>ROUND(B24*(1+$B$39),2)</x:f>
        <x:v>14295.93</x:v>
      </x:c>
      <x:c r="F24" s="15" t="str">
        <x:v>4</x:v>
      </x:c>
    </x:row>
    <x:row r="25" ht="25" customHeight="1">
      <x:c r="A25" s="2" t="str">
        <x:v>Bæring 1-4 etasje</x:v>
      </x:c>
      <x:c r="B25" s="10" t="n">
        <x:f>C25</x:f>
        <x:v>4500</x:v>
      </x:c>
      <x:c r="C25" s="10" t="n">
        <x:v>4500</x:v>
      </x:c>
      <x:c r="D25" s="10" t="n">
        <x:f>ROUND(B25-C25,2)</x:f>
        <x:v>0</x:v>
      </x:c>
      <x:c r="E25" s="10" t="n">
        <x:f>ROUND(B25*(1+$B$39),2)</x:f>
        <x:v>5625</x:v>
      </x:c>
      <x:c r="F25" s="15" t="str">
        <x:v>5</x:v>
      </x:c>
    </x:row>
    <x:row r="26" ht="25" customHeight="1">
      <x:c r="A26" s="2" t="str">
        <x:v>Montering</x:v>
      </x:c>
      <x:c r="B26" s="10" t="n">
        <x:f>C26</x:f>
        <x:v>30000</x:v>
      </x:c>
      <x:c r="C26" s="10" t="n">
        <x:v>30000</x:v>
      </x:c>
      <x:c r="D26" s="10" t="n">
        <x:f>ROUND(B26-C26,2)</x:f>
        <x:v>0</x:v>
      </x:c>
      <x:c r="E26" s="10" t="n">
        <x:f>ROUND(B26*(1+$B$39),2)</x:f>
        <x:v>37500</x:v>
      </x:c>
      <x:c r="F26" s="15" t="str">
        <x:v>5</x:v>
      </x:c>
    </x:row>
    <x:row r="27" ht="25" customHeight="1">
      <x:c r="A27" s="2" t="str">
        <x:v>Avrunde</x:v>
      </x:c>
      <x:c r="B27" s="10" t="n">
        <x:f>C27</x:f>
        <x:v>-5.97</x:v>
      </x:c>
      <x:c r="C27" s="10" t="n">
        <x:v>-5.97</x:v>
      </x:c>
      <x:c r="D27" s="10" t="n">
        <x:f>ROUND(B27-C27,2)</x:f>
        <x:v>0</x:v>
      </x:c>
      <x:c r="E27" s="10" t="n">
        <x:f>ROUND(B27*(1+$B$39),2)</x:f>
        <x:v>-7.46</x:v>
      </x:c>
      <x:c r="F27" s="15" t="str">
        <x:v>5</x:v>
      </x:c>
    </x:row>
    <x:row r="28" ht="25" customHeight="1">
      <x:c r="A28" s="19" t="str">
        <x:v>Sum ekskl. mva</x:v>
      </x:c>
      <x:c r="B28" s="20" t="n">
        <x:f>ROUND(SUM(B23:B27),2)</x:f>
        <x:v>188890</x:v>
      </x:c>
      <x:c r="C28" s="20" t="n">
        <x:v>188890</x:v>
      </x:c>
      <x:c r="D28" s="20" t="n">
        <x:f>ROUND(B28-C28,2)</x:f>
        <x:v>0</x:v>
      </x:c>
      <x:c r="E28" s="20" t="n">
        <x:f>ROUND(B28*(1+$B$39),2)</x:f>
        <x:v>236112.5</x:v>
      </x:c>
      <x:c r="F28" s="21" t="str">
        <x:v>5</x:v>
      </x:c>
    </x:row>
    <x:row r="29" ht="25" customHeight="1">
      <x:c r="A29" s="2" t="str">
        <x:v>Mva, 25 %</x:v>
      </x:c>
      <x:c r="B29" s="10" t="n">
        <x:f>ROUND(B28*$B$39,2)</x:f>
        <x:v>47222.5</x:v>
      </x:c>
      <x:c r="C29" s="10" t="n">
        <x:v>47222.5</x:v>
      </x:c>
      <x:c r="D29" s="10" t="n">
        <x:f>ROUND(B29-C29,2)</x:f>
        <x:v>0</x:v>
      </x:c>
      <x:c r="E29" s="10"/>
      <x:c r="F29" s="15" t="str">
        <x:v>5</x:v>
      </x:c>
    </x:row>
    <x:row r="30" ht="32" customHeight="1">
      <x:c r="A30" s="22" t="str">
        <x:v>Sum inkl. mva</x:v>
      </x:c>
      <x:c r="B30" s="23" t="n">
        <x:f>SUM(B28:B29)</x:f>
        <x:v>236112.5</x:v>
      </x:c>
      <x:c r="C30" s="23" t="n">
        <x:v>236112.5</x:v>
      </x:c>
      <x:c r="D30" s="23" t="n">
        <x:f>ROUND(B30-C30,2)</x:f>
        <x:v>0</x:v>
      </x:c>
      <x:c r="E30" s="23"/>
      <x:c r="F30" s="24" t="str">
        <x:v>5</x:v>
      </x:c>
    </x:row>
    <x:row r="31" ht="25" customHeight="1">
      <x:c r="A31" s="2"/>
      <x:c r="B31" s="10"/>
      <x:c r="C31" s="10"/>
      <x:c r="D31" s="10"/>
      <x:c r="E31" s="10"/>
      <x:c r="F31" s="2"/>
    </x:row>
    <x:row r="32" ht="25" customHeight="1">
      <x:c r="A32" s="2" t="str">
        <x:v>Avstemming av øredifferanser</x:v>
      </x:c>
      <x:c r="B32" s="10"/>
      <x:c r="C32" s="10"/>
      <x:c r="D32" s="10"/>
      <x:c r="E32" s="10"/>
      <x:c r="F32" s="2"/>
    </x:row>
    <x:row r="33" ht="25" customHeight="1">
      <x:c r="A33" s="2" t="str">
        <x:v>PDF-kategorier minus varelinjer</x:v>
      </x:c>
      <x:c r="B33" s="10" t="n">
        <x:f>ROUND(C20-B20,2)</x:f>
        <x:v>-0.01</x:v>
      </x:c>
      <x:c r="C33" s="10"/>
      <x:c r="D33" s="10"/>
      <x:c r="E33" s="10"/>
      <x:c r="F33" s="2"/>
    </x:row>
    <x:row r="34" ht="25" customHeight="1">
      <x:c r="A34" s="2" t="str">
        <x:v>Ørejustering i originalt tilbud</x:v>
      </x:c>
      <x:c r="B34" s="10" t="n">
        <x:v>-0.02</x:v>
      </x:c>
      <x:c r="C34" s="10"/>
      <x:c r="D34" s="10"/>
      <x:c r="E34" s="10"/>
      <x:c r="F34" s="2"/>
    </x:row>
    <x:row r="35" ht="25" customHeight="1">
      <x:c r="A35" s="2" t="str">
        <x:v>PDF-komponenter minus PDF-kategorier</x:v>
      </x:c>
      <x:c r="B35" s="10" t="n">
        <x:f>ROUND(C23-C20,2)</x:f>
        <x:v>-0.01</x:v>
      </x:c>
      <x:c r="C35" s="10"/>
      <x:c r="D35" s="10"/>
      <x:c r="E35" s="10"/>
      <x:c r="F35" s="2"/>
    </x:row>
    <x:row r="36" ht="25" customHeight="1">
      <x:c r="A36" s="2"/>
      <x:c r="B36" s="10"/>
      <x:c r="C36" s="10"/>
      <x:c r="D36" s="10"/>
      <x:c r="E36" s="10"/>
      <x:c r="F36" s="2"/>
    </x:row>
    <x:row r="37" ht="25" customHeight="1">
      <x:c r="A37" s="2" t="str">
        <x:v>Ordresetting, basert på PDF-total</x:v>
      </x:c>
      <x:c r="B37" s="10" t="n">
        <x:f>ROUND(C30*$B$41,2)</x:f>
        <x:v>118056.25</x:v>
      </x:c>
      <x:c r="C37" s="10"/>
      <x:c r="D37" s="10"/>
      <x:c r="E37" s="10"/>
      <x:c r="F37" s="2"/>
    </x:row>
    <x:row r="38" ht="25" customHeight="1">
      <x:c r="A38" s="2" t="str">
        <x:v>Ved levering, basert på PDF-total</x:v>
      </x:c>
      <x:c r="B38" s="10" t="n">
        <x:f>C30-B37</x:f>
        <x:v>118056.25</x:v>
      </x:c>
      <x:c r="C38" s="10"/>
      <x:c r="D38" s="10"/>
      <x:c r="E38" s="10"/>
      <x:c r="F38" s="2"/>
    </x:row>
    <x:row r="39" ht="25" customHeight="1">
      <x:c r="A39" s="2" t="str">
        <x:v>Mva-sats i tilbudet</x:v>
      </x:c>
      <x:c r="B39" s="12" t="n">
        <x:v>0.25</x:v>
      </x:c>
      <x:c r="C39" s="2"/>
      <x:c r="D39" s="2"/>
      <x:c r="E39" s="2"/>
      <x:c r="F39" s="2"/>
    </x:row>
    <x:row r="40" ht="25" customHeight="1">
      <x:c r="A40" s="2" t="str">
        <x:v>Fraktsats i tilbudet</x:v>
      </x:c>
      <x:c r="B40" s="12" t="n">
        <x:v>0.08</x:v>
      </x:c>
      <x:c r="C40" s="2"/>
      <x:c r="D40" s="2"/>
      <x:c r="E40" s="2"/>
      <x:c r="F40" s="2"/>
    </x:row>
    <x:row r="41" ht="25" customHeight="1">
      <x:c r="A41" s="2" t="str">
        <x:v>Andel ved ordresetting</x:v>
      </x:c>
      <x:c r="B41" s="12" t="n">
        <x:v>0.5</x:v>
      </x:c>
      <x:c r="C41" s="2"/>
      <x:c r="D41" s="2"/>
      <x:c r="E41" s="2"/>
      <x:c r="F41" s="2"/>
    </x:row>
    <x:row r="42" ht="25" customHeight="1">
      <x:c r="A42" s="2"/>
      <x:c r="B42" s="2"/>
      <x:c r="C42" s="2"/>
      <x:c r="D42" s="2"/>
      <x:c r="E42" s="2"/>
      <x:c r="F42" s="2"/>
    </x:row>
    <x:row r="43" ht="25" customHeight="1">
      <x:c r="A43" s="2" t="str">
        <x:v>Gule felt i Varelinjer er til beslutninger og notater. Disse endrer ikke tilbudets totalsum.</x:v>
      </x:c>
      <x:c r="B43" s="2"/>
      <x:c r="C43" s="2"/>
      <x:c r="D43" s="2"/>
      <x:c r="E43" s="2"/>
      <x:c r="F43" s="2"/>
    </x:row>
  </x:sheetData>
  <x:conditionalFormatting sqref="D5:D18">
    <x:cfRule type="cellIs" dxfId="0" priority="1" operator="notEqual">
      <x:formula>0</x:formula>
    </x:cfRule>
  </x:conditionalFormatting>
  <x:conditionalFormatting sqref="D23:D30">
    <x:cfRule type="cellIs" dxfId="1" priority="2" operator="notEqual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11" hidden="0" customWidth="1"/>
    <x:col min="4" max="4" width="19" hidden="0" customWidth="1"/>
    <x:col min="5" max="5" width="65" hidden="0" customWidth="1"/>
    <x:col min="6" max="6" width="10" hidden="0" customWidth="1"/>
    <x:col min="7" max="7" width="12" hidden="0" customWidth="1"/>
    <x:col min="8" max="8" width="23" hidden="0" customWidth="1"/>
    <x:col min="9" max="9" width="23" hidden="0" customWidth="1"/>
    <x:col min="10" max="10" width="23" hidden="0" customWidth="1"/>
    <x:col min="11" max="11" width="18" hidden="0" customWidth="1"/>
    <x:col min="12" max="12" width="18" hidden="0" customWidth="1"/>
    <x:col min="13" max="13" width="59" hidden="0" customWidth="1"/>
    <x:col min="14" max="14" width="22" hidden="0" customWidth="1"/>
    <x:col min="15" max="15" width="12" hidden="0" customWidth="1"/>
    <x:col min="16" max="16" width="18" hidden="0" customWidth="1"/>
    <x:col min="17" max="17" width="42" hidden="0" customWidth="1"/>
  </x:cols>
  <x:sheetData>
    <x:row r="1" ht="32" customHeight="1">
      <x:c r="A1" s="3" t="str">
        <x:v>Varelinjer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5" customHeight="1">
      <x:c r="A2" s="4" t="str">
        <x:v>Prisene i tilbudet er linjesummer etter rabatt, ekskl. mva. Enhetspris er beregnet.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44" customHeight="1">
      <x:c r="A4" s="7" t="str">
        <x:v>Linje</x:v>
      </x:c>
      <x:c r="B4" s="7" t="str">
        <x:v>Kategori</x:v>
      </x:c>
      <x:c r="C4" s="7" t="str">
        <x:v>Posisjon</x:v>
      </x:c>
      <x:c r="D4" s="7" t="str">
        <x:v>Artikkel</x:v>
      </x:c>
      <x:c r="E4" s="7" t="str">
        <x:v>Beskrivelse</x:v>
      </x:c>
      <x:c r="F4" s="7" t="str">
        <x:v>Antall</x:v>
      </x:c>
      <x:c r="G4" s="7" t="str">
        <x:v>Rabatt i PDF</x:v>
      </x:c>
      <x:c r="H4" s="7" t="str">
        <x:v>Linjesum ekskl. mva, PDF</x:v>
      </x:c>
      <x:c r="I4" s="7" t="str">
        <x:v>Enhetspris ekskl. mva</x:v>
      </x:c>
      <x:c r="J4" s="7" t="str">
        <x:v>Linjesum inkl. mva</x:v>
      </x:c>
      <x:c r="K4" s="7" t="str">
        <x:v>Lengde i PDF, mm</x:v>
      </x:c>
      <x:c r="L4" s="7" t="str">
        <x:v>NCS-farge</x:v>
      </x:c>
      <x:c r="M4" s="7" t="str">
        <x:v>Spesifikasjon / underartikler</x:v>
      </x:c>
      <x:c r="N4" s="7" t="str">
        <x:v>Leverandør</x:v>
      </x:c>
      <x:c r="O4" s="7" t="str">
        <x:v>PDF-side</x:v>
      </x:c>
      <x:c r="P4" s="7" t="str">
        <x:v>Beslutning</x:v>
      </x:c>
      <x:c r="Q4" s="7" t="str">
        <x:v>Egne notater</x:v>
      </x:c>
    </x:row>
    <x:row r="5" ht="44" customHeight="1">
      <x:c r="A5" s="25" t="str">
        <x:v>L01</x:v>
      </x:c>
      <x:c r="B5" s="26" t="str">
        <x:v>Skap, Uno Palett</x:v>
      </x:c>
      <x:c r="C5" s="35"/>
      <x:c r="D5" s="36" t="str">
        <x:v>14363995</x:v>
      </x:c>
      <x:c r="E5" s="26" t="str">
        <x:v>Legra Gummim. f/skuff 524x472</x:v>
      </x:c>
      <x:c r="F5" s="25" t="n">
        <x:v>4</x:v>
      </x:c>
      <x:c r="G5" s="28" t="n">
        <x:v>0.25</x:v>
      </x:c>
      <x:c r="H5" s="29" t="n">
        <x:v>615.6</x:v>
      </x:c>
      <x:c r="I5" s="29" t="n">
        <x:f>H5/F5</x:f>
        <x:v>153.9</x:v>
      </x:c>
      <x:c r="J5" s="29" t="n">
        <x:f>ROUND(H5*(1+'Oversikt'!$B$39),2)</x:f>
        <x:v>769.5</x:v>
      </x:c>
      <x:c r="K5" s="30"/>
      <x:c r="L5" s="26" t="str"/>
      <x:c r="M5" s="26" t="str"/>
      <x:c r="N5" s="26" t="str">
        <x:v>Sigdal</x:v>
      </x:c>
      <x:c r="O5" s="25" t="n">
        <x:v>2</x:v>
      </x:c>
      <x:c r="P5" s="34" t="str"/>
      <x:c r="Q5" s="34" t="str"/>
    </x:row>
    <x:row r="6" ht="76" customHeight="1">
      <x:c r="A6" s="2" t="str">
        <x:v>L02</x:v>
      </x:c>
      <x:c r="B6" s="27" t="str">
        <x:v>Skap, Uno Palett</x:v>
      </x:c>
      <x:c r="C6" s="15" t="n">
        <x:v>1</x:v>
      </x:c>
      <x:c r="D6" s="37" t="str">
        <x:v>1421200800</x:v>
      </x:c>
      <x:c r="E6" s="27" t="str">
        <x:v>Underskap 80cm, 2 hyller, 2 dører h700</x:v>
      </x:c>
      <x:c r="F6" s="2" t="n">
        <x:v>1</x:v>
      </x:c>
      <x:c r="G6" s="12" t="n">
        <x:v>0.25</x:v>
      </x:c>
      <x:c r="H6" s="10" t="n">
        <x:v>4355.21</x:v>
      </x:c>
      <x:c r="I6" s="10" t="n">
        <x:f>H6/F6</x:f>
        <x:v>4355.21</x:v>
      </x:c>
      <x:c r="J6" s="10" t="n">
        <x:f>ROUND(H6*(1+'Oversikt'!$B$39),2)</x:f>
        <x:v>5444.01</x:v>
      </x:c>
      <x:c r="K6" s="31"/>
      <x:c r="L6" s="27" t="str">
        <x:v>4307-B83G</x:v>
      </x:c>
      <x:c r="M6" s="27" t="str">
        <x:v>14V2120080028 | Uno Palett
14S2122080K1 | Nøtt kant. hvitt skrog
14344171 | Hengsel 110gr m/demping | 4
4307-B83G | Eggedal NCS 4307-B83G</x:v>
      </x:c>
      <x:c r="N6" s="27" t="str">
        <x:v>Sigdal</x:v>
      </x:c>
      <x:c r="O6" s="2" t="n">
        <x:v>2</x:v>
      </x:c>
      <x:c r="P6" s="34" t="str"/>
      <x:c r="Q6" s="34" t="str"/>
    </x:row>
    <x:row r="7" ht="60" customHeight="1">
      <x:c r="A7" s="25" t="str">
        <x:v>L03</x:v>
      </x:c>
      <x:c r="B7" s="26" t="str">
        <x:v>Skap, Uno Palett</x:v>
      </x:c>
      <x:c r="C7" s="35" t="n">
        <x:v>5</x:v>
      </x:c>
      <x:c r="D7" s="36" t="str">
        <x:v>1421430600</x:v>
      </x:c>
      <x:c r="E7" s="26" t="str">
        <x:v>Underskap for ovn 60cm, Uttrekkbar gitterskuff, h92 nr30, metalrail</x:v>
      </x:c>
      <x:c r="F7" s="25" t="n">
        <x:v>1</x:v>
      </x:c>
      <x:c r="G7" s="28" t="n">
        <x:v>0.25</x:v>
      </x:c>
      <x:c r="H7" s="29" t="n">
        <x:v>2425.3</x:v>
      </x:c>
      <x:c r="I7" s="29" t="n">
        <x:f>H7/F7</x:f>
        <x:v>2425.3</x:v>
      </x:c>
      <x:c r="J7" s="29" t="n">
        <x:f>ROUND(H7*(1+'Oversikt'!$B$39),2)</x:f>
        <x:v>3031.63</x:v>
      </x:c>
      <x:c r="K7" s="30"/>
      <x:c r="L7" s="26" t="str">
        <x:v>4307-B83G</x:v>
      </x:c>
      <x:c r="M7" s="26" t="str">
        <x:v>14V2143060028 | Uno Palett
14S2140060K1 | Nøtt kant. hvitt skrog
4307-B83G | Eggedal NCS 4307-B83G</x:v>
      </x:c>
      <x:c r="N7" s="26" t="str">
        <x:v>Sigdal</x:v>
      </x:c>
      <x:c r="O7" s="25" t="n">
        <x:v>2</x:v>
      </x:c>
      <x:c r="P7" s="34" t="str"/>
      <x:c r="Q7" s="34" t="str"/>
    </x:row>
    <x:row r="8" ht="76" customHeight="1">
      <x:c r="A8" s="2" t="str">
        <x:v>L04</x:v>
      </x:c>
      <x:c r="B8" s="27" t="str">
        <x:v>Skap, Uno Palett</x:v>
      </x:c>
      <x:c r="C8" s="15" t="n">
        <x:v>6</x:v>
      </x:c>
      <x:c r="D8" s="37" t="str">
        <x:v>1421200602</x:v>
      </x:c>
      <x:c r="E8" s="27" t="str">
        <x:v>Underskap 60cm H, 2 hyller, 1 dør h700</x:v>
      </x:c>
      <x:c r="F8" s="2" t="n">
        <x:v>1</x:v>
      </x:c>
      <x:c r="G8" s="12" t="n">
        <x:v>0.25</x:v>
      </x:c>
      <x:c r="H8" s="10" t="n">
        <x:v>3456.19</x:v>
      </x:c>
      <x:c r="I8" s="10" t="n">
        <x:f>H8/F8</x:f>
        <x:v>3456.19</x:v>
      </x:c>
      <x:c r="J8" s="10" t="n">
        <x:f>ROUND(H8*(1+'Oversikt'!$B$39),2)</x:f>
        <x:v>4320.24</x:v>
      </x:c>
      <x:c r="K8" s="31"/>
      <x:c r="L8" s="27" t="str">
        <x:v>4307-B83G</x:v>
      </x:c>
      <x:c r="M8" s="27" t="str">
        <x:v>14V2120060028 | Uno Palett
14S2120060K1 | Nøtt kant. hvitt skrog
14344171 | Hengsel 110gr m/demping | 2
4307-B83G | Eggedal NCS 4307-B83G</x:v>
      </x:c>
      <x:c r="N8" s="27" t="str">
        <x:v>Sigdal</x:v>
      </x:c>
      <x:c r="O8" s="2" t="n">
        <x:v>2</x:v>
      </x:c>
      <x:c r="P8" s="34" t="str"/>
      <x:c r="Q8" s="34" t="str"/>
    </x:row>
    <x:row r="9" ht="60" customHeight="1">
      <x:c r="A9" s="25" t="str">
        <x:v>L05</x:v>
      </x:c>
      <x:c r="B9" s="26" t="str">
        <x:v>Skap, Uno Palett</x:v>
      </x:c>
      <x:c r="C9" s="35" t="n">
        <x:v>7</x:v>
      </x:c>
      <x:c r="D9" s="36" t="str">
        <x:v>1424350680</x:v>
      </x:c>
      <x:c r="E9" s="26" t="str">
        <x:v>Underskap 60cm, 3 legra skuffer, h124 nrL1 h252 nrL5 h316 nrL6</x:v>
      </x:c>
      <x:c r="F9" s="25" t="n">
        <x:v>1</x:v>
      </x:c>
      <x:c r="G9" s="28" t="n">
        <x:v>0.25</x:v>
      </x:c>
      <x:c r="H9" s="29" t="n">
        <x:v>7416.68</x:v>
      </x:c>
      <x:c r="I9" s="29" t="n">
        <x:f>H9/F9</x:f>
        <x:v>7416.68</x:v>
      </x:c>
      <x:c r="J9" s="29" t="n">
        <x:f>ROUND(H9*(1+'Oversikt'!$B$39),2)</x:f>
        <x:v>9270.85</x:v>
      </x:c>
      <x:c r="K9" s="30"/>
      <x:c r="L9" s="26" t="str">
        <x:v>4307-B83G</x:v>
      </x:c>
      <x:c r="M9" s="26" t="str">
        <x:v>14V2435068028 | Uno Palett
14S2432060K1 | Nøtt kant. hvit skrog
4307-B83G | Eggedal NCS 4307-B83G</x:v>
      </x:c>
      <x:c r="N9" s="26" t="str">
        <x:v>Sigdal</x:v>
      </x:c>
      <x:c r="O9" s="25" t="n">
        <x:v>2</x:v>
      </x:c>
      <x:c r="P9" s="34" t="str"/>
      <x:c r="Q9" s="34" t="str"/>
    </x:row>
    <x:row r="10" ht="44" customHeight="1">
      <x:c r="A10" s="2" t="str">
        <x:v>L06</x:v>
      </x:c>
      <x:c r="B10" s="27" t="str">
        <x:v>Skap, Uno Palett</x:v>
      </x:c>
      <x:c r="C10" s="15"/>
      <x:c r="D10" s="37" t="str">
        <x:v>14363995</x:v>
      </x:c>
      <x:c r="E10" s="27" t="str">
        <x:v>Legra Gummim. f/skuff 524x472</x:v>
      </x:c>
      <x:c r="F10" s="2" t="n">
        <x:v>3</x:v>
      </x:c>
      <x:c r="G10" s="12" t="n">
        <x:v>0.25</x:v>
      </x:c>
      <x:c r="H10" s="10" t="n">
        <x:v>461.7</x:v>
      </x:c>
      <x:c r="I10" s="10" t="n">
        <x:f>H10/F10</x:f>
        <x:v>153.9</x:v>
      </x:c>
      <x:c r="J10" s="10" t="n">
        <x:f>ROUND(H10*(1+'Oversikt'!$B$39),2)</x:f>
        <x:v>577.13</x:v>
      </x:c>
      <x:c r="K10" s="31"/>
      <x:c r="L10" s="27" t="str"/>
      <x:c r="M10" s="27" t="str"/>
      <x:c r="N10" s="27" t="str">
        <x:v>Sigdal</x:v>
      </x:c>
      <x:c r="O10" s="2" t="n">
        <x:v>2</x:v>
      </x:c>
      <x:c r="P10" s="34" t="str"/>
      <x:c r="Q10" s="34" t="str"/>
    </x:row>
    <x:row r="11" ht="76" customHeight="1">
      <x:c r="A11" s="25" t="str">
        <x:v>L07</x:v>
      </x:c>
      <x:c r="B11" s="26" t="str">
        <x:v>Skap, Uno Palett</x:v>
      </x:c>
      <x:c r="C11" s="35" t="n">
        <x:v>8</x:v>
      </x:c>
      <x:c r="D11" s="36" t="str">
        <x:v>1440100501</x:v>
      </x:c>
      <x:c r="E11" s="26" t="str">
        <x:v>Overskap 50cm K h70.4 V, 2 hyller. 1 dør h700</x:v>
      </x:c>
      <x:c r="F11" s="25" t="n">
        <x:v>1</x:v>
      </x:c>
      <x:c r="G11" s="28" t="n">
        <x:v>0.25</x:v>
      </x:c>
      <x:c r="H11" s="29" t="n">
        <x:v>2599.05</x:v>
      </x:c>
      <x:c r="I11" s="29" t="n">
        <x:f>H11/F11</x:f>
        <x:v>2599.05</x:v>
      </x:c>
      <x:c r="J11" s="29" t="n">
        <x:f>ROUND(H11*(1+'Oversikt'!$B$39),2)</x:f>
        <x:v>3248.81</x:v>
      </x:c>
      <x:c r="K11" s="30"/>
      <x:c r="L11" s="26" t="str">
        <x:v>4307-B83G</x:v>
      </x:c>
      <x:c r="M11" s="26" t="str">
        <x:v>14V4010050028 | Uno Palett
14S4010050K1 | Nøtt kant. hvitt skrog
14344171 | Hengsel 110gr m/demping | 2
4307-B83G | Eggedal NCS 4307-B83G</x:v>
      </x:c>
      <x:c r="N11" s="26" t="str">
        <x:v>Sigdal</x:v>
      </x:c>
      <x:c r="O11" s="25" t="n">
        <x:v>2</x:v>
      </x:c>
      <x:c r="P11" s="34" t="str"/>
      <x:c r="Q11" s="34" t="str"/>
    </x:row>
    <x:row r="12" ht="76" customHeight="1">
      <x:c r="A12" s="2" t="str">
        <x:v>L08</x:v>
      </x:c>
      <x:c r="B12" s="27" t="str">
        <x:v>Skap, Uno Palett</x:v>
      </x:c>
      <x:c r="C12" s="15" t="n">
        <x:v>9</x:v>
      </x:c>
      <x:c r="D12" s="37" t="str">
        <x:v>1440100401</x:v>
      </x:c>
      <x:c r="E12" s="27" t="str">
        <x:v>Overskap 40cm K h70.4 V, 2 hyller. 1 dør h700</x:v>
      </x:c>
      <x:c r="F12" s="2" t="n">
        <x:v>1</x:v>
      </x:c>
      <x:c r="G12" s="12" t="n">
        <x:v>0.25</x:v>
      </x:c>
      <x:c r="H12" s="10" t="n">
        <x:v>2333.53</x:v>
      </x:c>
      <x:c r="I12" s="10" t="n">
        <x:f>H12/F12</x:f>
        <x:v>2333.53</x:v>
      </x:c>
      <x:c r="J12" s="10" t="n">
        <x:f>ROUND(H12*(1+'Oversikt'!$B$39),2)</x:f>
        <x:v>2916.91</x:v>
      </x:c>
      <x:c r="K12" s="31"/>
      <x:c r="L12" s="27" t="str">
        <x:v>4307-B83G</x:v>
      </x:c>
      <x:c r="M12" s="27" t="str">
        <x:v>14V4010040028 | Uno Palett
14S4010040K1 | Nøtt kant. hvitt skrog
14344171 | Hengsel 110gr m/demping | 2
4307-B83G | Eggedal NCS 4307-B83G</x:v>
      </x:c>
      <x:c r="N12" s="27" t="str">
        <x:v>Sigdal</x:v>
      </x:c>
      <x:c r="O12" s="2" t="n">
        <x:v>2</x:v>
      </x:c>
      <x:c r="P12" s="34" t="str"/>
      <x:c r="Q12" s="34" t="str"/>
    </x:row>
    <x:row r="13" ht="76" customHeight="1">
      <x:c r="A13" s="25" t="str">
        <x:v>L09</x:v>
      </x:c>
      <x:c r="B13" s="26" t="str">
        <x:v>Skap, Uno Palett</x:v>
      </x:c>
      <x:c r="C13" s="35" t="n">
        <x:v>10</x:v>
      </x:c>
      <x:c r="D13" s="36" t="str">
        <x:v>1440100501</x:v>
      </x:c>
      <x:c r="E13" s="26" t="str">
        <x:v>Overskap 50cm K h70.4 V, 2 hyller. 1 dør h700</x:v>
      </x:c>
      <x:c r="F13" s="25" t="n">
        <x:v>1</x:v>
      </x:c>
      <x:c r="G13" s="28" t="n">
        <x:v>0.25</x:v>
      </x:c>
      <x:c r="H13" s="29" t="n">
        <x:v>2599.05</x:v>
      </x:c>
      <x:c r="I13" s="29" t="n">
        <x:f>H13/F13</x:f>
        <x:v>2599.05</x:v>
      </x:c>
      <x:c r="J13" s="29" t="n">
        <x:f>ROUND(H13*(1+'Oversikt'!$B$39),2)</x:f>
        <x:v>3248.81</x:v>
      </x:c>
      <x:c r="K13" s="30"/>
      <x:c r="L13" s="26" t="str">
        <x:v>4307-B83G</x:v>
      </x:c>
      <x:c r="M13" s="26" t="str">
        <x:v>14V4010050028 | Uno Palett
14S4010050K1 | Nøtt kant. hvitt skrog
14344171 | Hengsel 110gr m/demping | 2
4307-B83G | Eggedal NCS 4307-B83G</x:v>
      </x:c>
      <x:c r="N13" s="26" t="str">
        <x:v>Sigdal</x:v>
      </x:c>
      <x:c r="O13" s="25" t="n">
        <x:v>2</x:v>
      </x:c>
      <x:c r="P13" s="34" t="str"/>
      <x:c r="Q13" s="34" t="str"/>
    </x:row>
    <x:row r="14" ht="76" customHeight="1">
      <x:c r="A14" s="2" t="str">
        <x:v>L10</x:v>
      </x:c>
      <x:c r="B14" s="27" t="str">
        <x:v>Skap, Uno Palett</x:v>
      </x:c>
      <x:c r="C14" s="15" t="n">
        <x:v>13</x:v>
      </x:c>
      <x:c r="D14" s="37" t="str">
        <x:v>1450100601</x:v>
      </x:c>
      <x:c r="E14" s="27" t="str">
        <x:v>Overskap 60cm S h86.4 V, 3 hyller. 1 dør h860</x:v>
      </x:c>
      <x:c r="F14" s="2" t="n">
        <x:v>1</x:v>
      </x:c>
      <x:c r="G14" s="12" t="n">
        <x:v>0.25</x:v>
      </x:c>
      <x:c r="H14" s="10" t="n">
        <x:v>3239.68</x:v>
      </x:c>
      <x:c r="I14" s="10" t="n">
        <x:f>H14/F14</x:f>
        <x:v>3239.68</x:v>
      </x:c>
      <x:c r="J14" s="10" t="n">
        <x:f>ROUND(H14*(1+'Oversikt'!$B$39),2)</x:f>
        <x:v>4049.6</x:v>
      </x:c>
      <x:c r="K14" s="31"/>
      <x:c r="L14" s="27" t="str">
        <x:v>S2005-G70Y</x:v>
      </x:c>
      <x:c r="M14" s="27" t="str">
        <x:v>14V5010060028 | Uno Palett
14S5010060K1 | Nøtt kant. hvitt skrog
14344171 | Hengsel 110gr m/demping | 2
S2005-G70Y | Eggedal NCS S2005-G70Y</x:v>
      </x:c>
      <x:c r="N14" s="27" t="str">
        <x:v>Sigdal</x:v>
      </x:c>
      <x:c r="O14" s="2" t="n">
        <x:v>2</x:v>
      </x:c>
      <x:c r="P14" s="34" t="str"/>
      <x:c r="Q14" s="34" t="str"/>
    </x:row>
    <x:row r="15" ht="76" customHeight="1">
      <x:c r="A15" s="25" t="str">
        <x:v>L11</x:v>
      </x:c>
      <x:c r="B15" s="26" t="str">
        <x:v>Skap, Uno Palett</x:v>
      </x:c>
      <x:c r="C15" s="35" t="n">
        <x:v>14</x:v>
      </x:c>
      <x:c r="D15" s="36" t="str">
        <x:v>1450100601</x:v>
      </x:c>
      <x:c r="E15" s="26" t="str">
        <x:v>Overskap 60cm S h86.4 V, 3 hyller. 1 dør h860</x:v>
      </x:c>
      <x:c r="F15" s="25" t="n">
        <x:v>1</x:v>
      </x:c>
      <x:c r="G15" s="28" t="n">
        <x:v>0.25</x:v>
      </x:c>
      <x:c r="H15" s="29" t="n">
        <x:v>3239.68</x:v>
      </x:c>
      <x:c r="I15" s="29" t="n">
        <x:f>H15/F15</x:f>
        <x:v>3239.68</x:v>
      </x:c>
      <x:c r="J15" s="29" t="n">
        <x:f>ROUND(H15*(1+'Oversikt'!$B$39),2)</x:f>
        <x:v>4049.6</x:v>
      </x:c>
      <x:c r="K15" s="30"/>
      <x:c r="L15" s="26" t="str">
        <x:v>S2005-G70Y</x:v>
      </x:c>
      <x:c r="M15" s="26" t="str">
        <x:v>14V5010060028 | Uno Palett
14S5010060K1 | Nøtt kant. hvitt skrog
14344171 | Hengsel 110gr m/demping | 2
S2005-G70Y | Eggedal NCS S2005-G70Y</x:v>
      </x:c>
      <x:c r="N15" s="26" t="str">
        <x:v>Sigdal</x:v>
      </x:c>
      <x:c r="O15" s="25" t="n">
        <x:v>2</x:v>
      </x:c>
      <x:c r="P15" s="34" t="str"/>
      <x:c r="Q15" s="34" t="str"/>
    </x:row>
    <x:row r="16" ht="76" customHeight="1">
      <x:c r="A16" s="2" t="str">
        <x:v>L12</x:v>
      </x:c>
      <x:c r="B16" s="27" t="str">
        <x:v>Skap, Uno Palett</x:v>
      </x:c>
      <x:c r="C16" s="15" t="n">
        <x:v>15</x:v>
      </x:c>
      <x:c r="D16" s="37" t="str">
        <x:v>1450100602</x:v>
      </x:c>
      <x:c r="E16" s="27" t="str">
        <x:v>Overskap 60cm S h86.4 H, 3 hyller. 1 dør h860</x:v>
      </x:c>
      <x:c r="F16" s="2" t="n">
        <x:v>1</x:v>
      </x:c>
      <x:c r="G16" s="12" t="n">
        <x:v>0.25</x:v>
      </x:c>
      <x:c r="H16" s="10" t="n">
        <x:v>3239.68</x:v>
      </x:c>
      <x:c r="I16" s="10" t="n">
        <x:f>H16/F16</x:f>
        <x:v>3239.68</x:v>
      </x:c>
      <x:c r="J16" s="10" t="n">
        <x:f>ROUND(H16*(1+'Oversikt'!$B$39),2)</x:f>
        <x:v>4049.6</x:v>
      </x:c>
      <x:c r="K16" s="31"/>
      <x:c r="L16" s="27" t="str">
        <x:v>S2005-G70Y</x:v>
      </x:c>
      <x:c r="M16" s="27" t="str">
        <x:v>14V5010060028 | Uno Palett
14S5010060K1 | Nøtt kant. hvitt skrog
14344171 | Hengsel 110gr m/demping | 2
S2005-G70Y | Eggedal NCS S2005-G70Y</x:v>
      </x:c>
      <x:c r="N16" s="27" t="str">
        <x:v>Sigdal</x:v>
      </x:c>
      <x:c r="O16" s="2" t="n">
        <x:v>2</x:v>
      </x:c>
      <x:c r="P16" s="34" t="str"/>
      <x:c r="Q16" s="34" t="str"/>
    </x:row>
    <x:row r="17" ht="60" customHeight="1">
      <x:c r="A17" s="25" t="str">
        <x:v>L13</x:v>
      </x:c>
      <x:c r="B17" s="26" t="str">
        <x:v>Skap, Uno Palett</x:v>
      </x:c>
      <x:c r="C17" s="35" t="n">
        <x:v>19</x:v>
      </x:c>
      <x:c r="D17" s="36" t="str">
        <x:v>1481160751</x:v>
      </x:c>
      <x:c r="E17" s="26" t="str">
        <x:v>Høyskap 75cm S h211.2 V integr, kjøl/frys 1780 f dør-på-dør, 2 dører h1404+h700</x:v>
      </x:c>
      <x:c r="F17" s="25" t="n">
        <x:v>1</x:v>
      </x:c>
      <x:c r="G17" s="28" t="n">
        <x:v>0.25</x:v>
      </x:c>
      <x:c r="H17" s="29" t="n">
        <x:v>11130.37</x:v>
      </x:c>
      <x:c r="I17" s="29" t="n">
        <x:f>H17/F17</x:f>
        <x:v>11130.37</x:v>
      </x:c>
      <x:c r="J17" s="29" t="n">
        <x:f>ROUND(H17*(1+'Oversikt'!$B$39),2)</x:f>
        <x:v>13912.96</x:v>
      </x:c>
      <x:c r="K17" s="30"/>
      <x:c r="L17" s="26" t="str">
        <x:v>4307-B83G</x:v>
      </x:c>
      <x:c r="M17" s="26" t="str">
        <x:v>14V8116075028 | Uno Palett
14S8116075K1 | Nøtt kant. hvitt skrog
4307-B83G | Eggedal NCS 4307-B83G</x:v>
      </x:c>
      <x:c r="N17" s="26" t="str">
        <x:v>Sigdal</x:v>
      </x:c>
      <x:c r="O17" s="25" t="n">
        <x:v>3</x:v>
      </x:c>
      <x:c r="P17" s="34" t="str"/>
      <x:c r="Q17" s="34" t="str"/>
    </x:row>
    <x:row r="18" ht="44" customHeight="1">
      <x:c r="A18" s="2" t="str">
        <x:v>L14</x:v>
      </x:c>
      <x:c r="B18" s="27" t="str">
        <x:v>Distanse, Uno Palett</x:v>
      </x:c>
      <x:c r="C18" s="15"/>
      <x:c r="D18" s="37" t="str">
        <x:v>14397041</x:v>
      </x:c>
      <x:c r="E18" s="27" t="str">
        <x:v>Foring for benkeplate, 10x100x2000</x:v>
      </x:c>
      <x:c r="F18" s="2" t="n">
        <x:v>8</x:v>
      </x:c>
      <x:c r="G18" s="12" t="n">
        <x:v>0.25</x:v>
      </x:c>
      <x:c r="H18" s="10" t="n">
        <x:v>1956.96</x:v>
      </x:c>
      <x:c r="I18" s="10" t="n">
        <x:f>H18/F18</x:f>
        <x:v>244.62</x:v>
      </x:c>
      <x:c r="J18" s="10" t="n">
        <x:f>ROUND(H18*(1+'Oversikt'!$B$39),2)</x:f>
        <x:v>2446.2</x:v>
      </x:c>
      <x:c r="K18" s="31" t="n">
        <x:v>16000</x:v>
      </x:c>
      <x:c r="L18" s="27" t="str"/>
      <x:c r="M18" s="27" t="str"/>
      <x:c r="N18" s="27" t="str">
        <x:v>Sigdal</x:v>
      </x:c>
      <x:c r="O18" s="2" t="n">
        <x:v>3</x:v>
      </x:c>
      <x:c r="P18" s="34" t="str"/>
      <x:c r="Q18" s="34" t="str"/>
    </x:row>
    <x:row r="19" ht="44" customHeight="1">
      <x:c r="A19" s="25" t="str">
        <x:v>L15</x:v>
      </x:c>
      <x:c r="B19" s="26" t="str">
        <x:v>Sider, Uno Palett</x:v>
      </x:c>
      <x:c r="C19" s="35"/>
      <x:c r="D19" s="36" t="str">
        <x:v>14379804</x:v>
      </x:c>
      <x:c r="E19" s="26" t="str">
        <x:v>Dekkside 16mm 704x350</x:v>
      </x:c>
      <x:c r="F19" s="25" t="n">
        <x:v>2</x:v>
      </x:c>
      <x:c r="G19" s="28" t="n">
        <x:v>0.25</x:v>
      </x:c>
      <x:c r="H19" s="29" t="n">
        <x:v>1295.51</x:v>
      </x:c>
      <x:c r="I19" s="29" t="n">
        <x:f>H19/F19</x:f>
        <x:v>647.755</x:v>
      </x:c>
      <x:c r="J19" s="29" t="n">
        <x:f>ROUND(H19*(1+'Oversikt'!$B$39),2)</x:f>
        <x:v>1619.39</x:v>
      </x:c>
      <x:c r="K19" s="30"/>
      <x:c r="L19" s="26" t="str">
        <x:v>4307-B83G</x:v>
      </x:c>
      <x:c r="M19" s="26" t="str">
        <x:v>14V3798040990 | Palett
4307-B83G | Eggedal NCS 4307-B83G</x:v>
      </x:c>
      <x:c r="N19" s="26" t="str">
        <x:v>Sigdal</x:v>
      </x:c>
      <x:c r="O19" s="25" t="n">
        <x:v>3</x:v>
      </x:c>
      <x:c r="P19" s="34" t="str"/>
      <x:c r="Q19" s="34" t="str"/>
    </x:row>
    <x:row r="20" ht="44" customHeight="1">
      <x:c r="A20" s="2" t="str">
        <x:v>L16</x:v>
      </x:c>
      <x:c r="B20" s="27" t="str">
        <x:v>Sider, Uno Palett</x:v>
      </x:c>
      <x:c r="C20" s="15"/>
      <x:c r="D20" s="37" t="str">
        <x:v>14379807</x:v>
      </x:c>
      <x:c r="E20" s="27" t="str">
        <x:v>Dekkside 16mm 704x585</x:v>
      </x:c>
      <x:c r="F20" s="2" t="n">
        <x:v>1</x:v>
      </x:c>
      <x:c r="G20" s="12" t="n">
        <x:v>0.25</x:v>
      </x:c>
      <x:c r="H20" s="10" t="n">
        <x:v>1230.47</x:v>
      </x:c>
      <x:c r="I20" s="10" t="n">
        <x:f>H20/F20</x:f>
        <x:v>1230.47</x:v>
      </x:c>
      <x:c r="J20" s="10" t="n">
        <x:f>ROUND(H20*(1+'Oversikt'!$B$39),2)</x:f>
        <x:v>1538.09</x:v>
      </x:c>
      <x:c r="K20" s="31"/>
      <x:c r="L20" s="27" t="str">
        <x:v>4307-B83G</x:v>
      </x:c>
      <x:c r="M20" s="27" t="str">
        <x:v>14V3798070990 | Palett
4307-B83G | Eggedal NCS 4307-B83G</x:v>
      </x:c>
      <x:c r="N20" s="27" t="str">
        <x:v>Sigdal</x:v>
      </x:c>
      <x:c r="O20" s="2" t="n">
        <x:v>3</x:v>
      </x:c>
      <x:c r="P20" s="34" t="str"/>
      <x:c r="Q20" s="34" t="str"/>
    </x:row>
    <x:row r="21" ht="44" customHeight="1">
      <x:c r="A21" s="25" t="str">
        <x:v>L17</x:v>
      </x:c>
      <x:c r="B21" s="26" t="str">
        <x:v>Sider, Uno Palett</x:v>
      </x:c>
      <x:c r="C21" s="35"/>
      <x:c r="D21" s="36" t="str">
        <x:v>14379905</x:v>
      </x:c>
      <x:c r="E21" s="26" t="str">
        <x:v>Støttes.m/rett kant 2400x585</x:v>
      </x:c>
      <x:c r="F21" s="25" t="n">
        <x:v>1</x:v>
      </x:c>
      <x:c r="G21" s="28" t="n">
        <x:v>0.25</x:v>
      </x:c>
      <x:c r="H21" s="29" t="n">
        <x:v>2185.62</x:v>
      </x:c>
      <x:c r="I21" s="29" t="n">
        <x:f>H21/F21</x:f>
        <x:v>2185.62</x:v>
      </x:c>
      <x:c r="J21" s="29" t="n">
        <x:f>ROUND(H21*(1+'Oversikt'!$B$39),2)</x:f>
        <x:v>2732.02</x:v>
      </x:c>
      <x:c r="K21" s="30"/>
      <x:c r="L21" s="26" t="str">
        <x:v>4307-B83G</x:v>
      </x:c>
      <x:c r="M21" s="26" t="str">
        <x:v>14V3799050990 | Palett
4307-B83G | Eggedal NCS 4307-B83G</x:v>
      </x:c>
      <x:c r="N21" s="26" t="str">
        <x:v>Sigdal</x:v>
      </x:c>
      <x:c r="O21" s="25" t="n">
        <x:v>3</x:v>
      </x:c>
      <x:c r="P21" s="34" t="str"/>
      <x:c r="Q21" s="34" t="str"/>
    </x:row>
    <x:row r="22" ht="44" customHeight="1">
      <x:c r="A22" s="2" t="str">
        <x:v>L18</x:v>
      </x:c>
      <x:c r="B22" s="27" t="str">
        <x:v>Foringer, Uno Palett</x:v>
      </x:c>
      <x:c r="C22" s="15"/>
      <x:c r="D22" s="37" t="str">
        <x:v>14243039</x:v>
      </x:c>
      <x:c r="E22" s="27" t="str">
        <x:v>Lyslist/foring 54x2420</x:v>
      </x:c>
      <x:c r="F22" s="2" t="n">
        <x:v>1</x:v>
      </x:c>
      <x:c r="G22" s="12" t="n">
        <x:v>0.25</x:v>
      </x:c>
      <x:c r="H22" s="10" t="n">
        <x:v>683.4</x:v>
      </x:c>
      <x:c r="I22" s="10" t="n">
        <x:f>H22/F22</x:f>
        <x:v>683.4</x:v>
      </x:c>
      <x:c r="J22" s="10" t="n">
        <x:f>ROUND(H22*(1+'Oversikt'!$B$39),2)</x:f>
        <x:v>854.25</x:v>
      </x:c>
      <x:c r="K22" s="31" t="n">
        <x:v>2420</x:v>
      </x:c>
      <x:c r="L22" s="27" t="str">
        <x:v>4307-B83G</x:v>
      </x:c>
      <x:c r="M22" s="27" t="str">
        <x:v>14V2430390990 | Palett
4307-B83G | Eggedal NCS 4307-B83G</x:v>
      </x:c>
      <x:c r="N22" s="27" t="str">
        <x:v>Sigdal</x:v>
      </x:c>
      <x:c r="O22" s="2" t="n">
        <x:v>3</x:v>
      </x:c>
      <x:c r="P22" s="34" t="str"/>
      <x:c r="Q22" s="34" t="str"/>
    </x:row>
    <x:row r="23" ht="44" customHeight="1">
      <x:c r="A23" s="25" t="str">
        <x:v>L19</x:v>
      </x:c>
      <x:c r="B23" s="26" t="str">
        <x:v>Lister, Uno Palett</x:v>
      </x:c>
      <x:c r="C23" s="35"/>
      <x:c r="D23" s="36" t="str">
        <x:v>14243039</x:v>
      </x:c>
      <x:c r="E23" s="26" t="str">
        <x:v>Lyslist/foring 54x2420</x:v>
      </x:c>
      <x:c r="F23" s="25" t="n">
        <x:v>1</x:v>
      </x:c>
      <x:c r="G23" s="28" t="n">
        <x:v>0.25</x:v>
      </x:c>
      <x:c r="H23" s="29" t="n">
        <x:v>683.4</x:v>
      </x:c>
      <x:c r="I23" s="29" t="n">
        <x:f>H23/F23</x:f>
        <x:v>683.4</x:v>
      </x:c>
      <x:c r="J23" s="29" t="n">
        <x:f>ROUND(H23*(1+'Oversikt'!$B$39),2)</x:f>
        <x:v>854.25</x:v>
      </x:c>
      <x:c r="K23" s="30" t="n">
        <x:v>2400</x:v>
      </x:c>
      <x:c r="L23" s="26" t="str">
        <x:v>4307-B83G</x:v>
      </x:c>
      <x:c r="M23" s="26" t="str">
        <x:v>14V2430390990 | Palett
4307-B83G | Eggedal NCS 4307-B83G</x:v>
      </x:c>
      <x:c r="N23" s="26" t="str">
        <x:v>Sigdal</x:v>
      </x:c>
      <x:c r="O23" s="25" t="n">
        <x:v>3</x:v>
      </x:c>
      <x:c r="P23" s="34" t="str"/>
      <x:c r="Q23" s="34" t="str"/>
    </x:row>
    <x:row r="24" ht="44" customHeight="1">
      <x:c r="A24" s="2" t="str">
        <x:v>L20</x:v>
      </x:c>
      <x:c r="B24" s="27" t="str">
        <x:v>Lister, Uno Palett</x:v>
      </x:c>
      <x:c r="C24" s="15"/>
      <x:c r="D24" s="37" t="str">
        <x:v>14243039</x:v>
      </x:c>
      <x:c r="E24" s="27" t="str">
        <x:v>Lyslist/foring 54x2420</x:v>
      </x:c>
      <x:c r="F24" s="2" t="n">
        <x:v>2</x:v>
      </x:c>
      <x:c r="G24" s="12" t="n">
        <x:v>0.25</x:v>
      </x:c>
      <x:c r="H24" s="10" t="n">
        <x:v>1366.79</x:v>
      </x:c>
      <x:c r="I24" s="10" t="n">
        <x:f>H24/F24</x:f>
        <x:v>683.395</x:v>
      </x:c>
      <x:c r="J24" s="10" t="n">
        <x:f>ROUND(H24*(1+'Oversikt'!$B$39),2)</x:f>
        <x:v>1708.49</x:v>
      </x:c>
      <x:c r="K24" s="31" t="n">
        <x:v>4800</x:v>
      </x:c>
      <x:c r="L24" s="27" t="str">
        <x:v>S2005-G70Y</x:v>
      </x:c>
      <x:c r="M24" s="27" t="str">
        <x:v>14V2430390990 | Palett
S2005-G70Y | Eggedal NCS S2005-G70Y</x:v>
      </x:c>
      <x:c r="N24" s="27" t="str">
        <x:v>Sigdal</x:v>
      </x:c>
      <x:c r="O24" s="2" t="n">
        <x:v>3</x:v>
      </x:c>
      <x:c r="P24" s="34" t="str"/>
      <x:c r="Q24" s="34" t="str"/>
    </x:row>
    <x:row r="25" ht="44" customHeight="1">
      <x:c r="A25" s="25" t="str">
        <x:v>L21</x:v>
      </x:c>
      <x:c r="B25" s="26" t="str">
        <x:v>Sokler, Uno Palett</x:v>
      </x:c>
      <x:c r="C25" s="35"/>
      <x:c r="D25" s="36" t="str">
        <x:v>143611350000</x:v>
      </x:c>
      <x:c r="E25" s="26" t="str">
        <x:v>Sokkelben pk (4 ben + 4 klips)</x:v>
      </x:c>
      <x:c r="F25" s="25" t="n">
        <x:v>9</x:v>
      </x:c>
      <x:c r="G25" s="28" t="n">
        <x:v>0.25</x:v>
      </x:c>
      <x:c r="H25" s="29" t="n">
        <x:v>918.54</x:v>
      </x:c>
      <x:c r="I25" s="29" t="n">
        <x:f>H25/F25</x:f>
        <x:v>102.06</x:v>
      </x:c>
      <x:c r="J25" s="29" t="n">
        <x:f>ROUND(H25*(1+'Oversikt'!$B$39),2)</x:f>
        <x:v>1148.18</x:v>
      </x:c>
      <x:c r="K25" s="30"/>
      <x:c r="L25" s="26" t="str"/>
      <x:c r="M25" s="26" t="str"/>
      <x:c r="N25" s="26" t="str">
        <x:v>Sigdal</x:v>
      </x:c>
      <x:c r="O25" s="25" t="n">
        <x:v>3</x:v>
      </x:c>
      <x:c r="P25" s="34" t="str"/>
      <x:c r="Q25" s="34" t="str"/>
    </x:row>
    <x:row r="26" ht="44" customHeight="1">
      <x:c r="A26" s="2" t="str">
        <x:v>L22</x:v>
      </x:c>
      <x:c r="B26" s="27" t="str">
        <x:v>Sokler, Uno Palett</x:v>
      </x:c>
      <x:c r="C26" s="15"/>
      <x:c r="D26" s="37" t="str">
        <x:v>14251121</x:v>
      </x:c>
      <x:c r="E26" s="27" t="str">
        <x:v>Sokkelende 505x166</x:v>
      </x:c>
      <x:c r="F26" s="2" t="n">
        <x:v>3</x:v>
      </x:c>
      <x:c r="G26" s="12" t="n">
        <x:v>0.25</x:v>
      </x:c>
      <x:c r="H26" s="10" t="n">
        <x:v>1085.24</x:v>
      </x:c>
      <x:c r="I26" s="10" t="n">
        <x:f>H26/F26</x:f>
        <x:v>361.74666666666667</x:v>
      </x:c>
      <x:c r="J26" s="10" t="n">
        <x:f>ROUND(H26*(1+'Oversikt'!$B$39),2)</x:f>
        <x:v>1356.55</x:v>
      </x:c>
      <x:c r="K26" s="31"/>
      <x:c r="L26" s="27" t="str">
        <x:v>4307-B83G</x:v>
      </x:c>
      <x:c r="M26" s="27" t="str">
        <x:v>14V2511210990 | Palett
4307-B83G | Eggedal NCS 4307-B83G</x:v>
      </x:c>
      <x:c r="N26" s="27" t="str">
        <x:v>Sigdal</x:v>
      </x:c>
      <x:c r="O26" s="2" t="n">
        <x:v>3</x:v>
      </x:c>
      <x:c r="P26" s="34" t="str"/>
      <x:c r="Q26" s="34" t="str"/>
    </x:row>
    <x:row r="27" ht="44" customHeight="1">
      <x:c r="A27" s="25" t="str">
        <x:v>L23</x:v>
      </x:c>
      <x:c r="B27" s="26" t="str">
        <x:v>Sokler, Uno Palett</x:v>
      </x:c>
      <x:c r="C27" s="35"/>
      <x:c r="D27" s="36" t="str">
        <x:v>14251120</x:v>
      </x:c>
      <x:c r="E27" s="26" t="str">
        <x:v>Sokkelfront 2420x166</x:v>
      </x:c>
      <x:c r="F27" s="25" t="n">
        <x:v>4</x:v>
      </x:c>
      <x:c r="G27" s="28" t="n">
        <x:v>0.25</x:v>
      </x:c>
      <x:c r="H27" s="29" t="n">
        <x:v>2986.63</x:v>
      </x:c>
      <x:c r="I27" s="29" t="n">
        <x:f>H27/F27</x:f>
        <x:v>746.6575</x:v>
      </x:c>
      <x:c r="J27" s="29" t="n">
        <x:f>ROUND(H27*(1+'Oversikt'!$B$39),2)</x:f>
        <x:v>3733.29</x:v>
      </x:c>
      <x:c r="K27" s="30" t="n">
        <x:v>9680</x:v>
      </x:c>
      <x:c r="L27" s="26" t="str">
        <x:v>4307-B83G</x:v>
      </x:c>
      <x:c r="M27" s="26" t="str">
        <x:v>14V2511200990 | Palett
4307-B83G | Eggedal NCS 4307-B83G</x:v>
      </x:c>
      <x:c r="N27" s="26" t="str">
        <x:v>Sigdal</x:v>
      </x:c>
      <x:c r="O27" s="25" t="n">
        <x:v>3</x:v>
      </x:c>
      <x:c r="P27" s="34" t="str"/>
      <x:c r="Q27" s="34" t="str"/>
    </x:row>
    <x:row r="28" ht="44" customHeight="1">
      <x:c r="A28" s="2" t="str">
        <x:v>L24</x:v>
      </x:c>
      <x:c r="B28" s="27" t="str">
        <x:v>Tilbehør, Uno Palett</x:v>
      </x:c>
      <x:c r="C28" s="15"/>
      <x:c r="D28" s="37" t="str">
        <x:v>143679690000</x:v>
      </x:c>
      <x:c r="E28" s="27" t="str">
        <x:v>Lufterist Alu. 500x86</x:v>
      </x:c>
      <x:c r="F28" s="2" t="n">
        <x:v>1</x:v>
      </x:c>
      <x:c r="G28" s="12" t="n">
        <x:v>0.25</x:v>
      </x:c>
      <x:c r="H28" s="10" t="n">
        <x:v>202.5</x:v>
      </x:c>
      <x:c r="I28" s="10" t="n">
        <x:f>H28/F28</x:f>
        <x:v>202.5</x:v>
      </x:c>
      <x:c r="J28" s="10" t="n">
        <x:f>ROUND(H28*(1+'Oversikt'!$B$39),2)</x:f>
        <x:v>253.13</x:v>
      </x:c>
      <x:c r="K28" s="31"/>
      <x:c r="L28" s="27" t="str"/>
      <x:c r="M28" s="27" t="str"/>
      <x:c r="N28" s="27" t="str">
        <x:v>Sigdal</x:v>
      </x:c>
      <x:c r="O28" s="2" t="n">
        <x:v>3</x:v>
      </x:c>
      <x:c r="P28" s="34" t="str"/>
      <x:c r="Q28" s="34" t="str"/>
    </x:row>
    <x:row r="29" ht="44" customHeight="1">
      <x:c r="A29" s="25" t="str">
        <x:v>L25</x:v>
      </x:c>
      <x:c r="B29" s="26" t="str">
        <x:v>Skap, øvrig Sigdal</x:v>
      </x:c>
      <x:c r="C29" s="35"/>
      <x:c r="D29" s="36" t="str">
        <x:v>141594660</x:v>
      </x:c>
      <x:c r="E29" s="26" t="str">
        <x:v>Dør f/oppvm/innb ubor 596x700, uten dekklister</x:v>
      </x:c>
      <x:c r="F29" s="25" t="n">
        <x:v>1</x:v>
      </x:c>
      <x:c r="G29" s="28" t="n">
        <x:v>0.25</x:v>
      </x:c>
      <x:c r="H29" s="29" t="n">
        <x:v>1356.1</x:v>
      </x:c>
      <x:c r="I29" s="29" t="n">
        <x:f>H29/F29</x:f>
        <x:v>1356.1</x:v>
      </x:c>
      <x:c r="J29" s="29" t="n">
        <x:f>ROUND(H29*(1+'Oversikt'!$B$39),2)</x:f>
        <x:v>1695.13</x:v>
      </x:c>
      <x:c r="K29" s="30"/>
      <x:c r="L29" s="26" t="str">
        <x:v>4307-B83G</x:v>
      </x:c>
      <x:c r="M29" s="26" t="str">
        <x:v>14V159466028 | Uno Palett
4307-B83G | Eggedal NCS 4307-B83G</x:v>
      </x:c>
      <x:c r="N29" s="26" t="str">
        <x:v>Sigdal</x:v>
      </x:c>
      <x:c r="O29" s="25" t="n">
        <x:v>3</x:v>
      </x:c>
      <x:c r="P29" s="34" t="str"/>
      <x:c r="Q29" s="34" t="str"/>
    </x:row>
    <x:row r="30" ht="44" customHeight="1">
      <x:c r="A30" s="2" t="str">
        <x:v>L26</x:v>
      </x:c>
      <x:c r="B30" s="27" t="str">
        <x:v>Skap, øvrig Sigdal</x:v>
      </x:c>
      <x:c r="C30" s="15"/>
      <x:c r="D30" s="37" t="str">
        <x:v>143679770000</x:v>
      </x:c>
      <x:c r="E30" s="27" t="str">
        <x:v>Dekklist 16mm.fr.opv.mask.Stål</x:v>
      </x:c>
      <x:c r="F30" s="2" t="n">
        <x:v>1</x:v>
      </x:c>
      <x:c r="G30" s="12" t="n">
        <x:v>0</x:v>
      </x:c>
      <x:c r="H30" s="10" t="n">
        <x:v>329.4</x:v>
      </x:c>
      <x:c r="I30" s="10" t="n">
        <x:f>H30/F30</x:f>
        <x:v>329.4</x:v>
      </x:c>
      <x:c r="J30" s="10" t="n">
        <x:f>ROUND(H30*(1+'Oversikt'!$B$39),2)</x:f>
        <x:v>411.75</x:v>
      </x:c>
      <x:c r="K30" s="31"/>
      <x:c r="L30" s="27" t="str"/>
      <x:c r="M30" s="27" t="str"/>
      <x:c r="N30" s="27" t="str">
        <x:v>Sigdal</x:v>
      </x:c>
      <x:c r="O30" s="2" t="n">
        <x:v>4</x:v>
      </x:c>
      <x:c r="P30" s="34" t="str"/>
      <x:c r="Q30" s="34" t="str"/>
    </x:row>
    <x:row r="31" ht="44" customHeight="1">
      <x:c r="A31" s="25" t="str">
        <x:v>L27</x:v>
      </x:c>
      <x:c r="B31" s="26" t="str">
        <x:v>Baldakin, øvrig Sigdal</x:v>
      </x:c>
      <x:c r="C31" s="35"/>
      <x:c r="D31" s="36" t="str">
        <x:v>14429993</x:v>
      </x:c>
      <x:c r="E31" s="26" t="str">
        <x:v>Baldakin 16mm d585 måltilp, lengde 50-2400, dybde 351-585</x:v>
      </x:c>
      <x:c r="F31" s="25" t="n">
        <x:v>1</x:v>
      </x:c>
      <x:c r="G31" s="28" t="n">
        <x:v>0.25</x:v>
      </x:c>
      <x:c r="H31" s="29" t="n">
        <x:v>1211.28</x:v>
      </x:c>
      <x:c r="I31" s="29" t="n">
        <x:f>H31/F31</x:f>
        <x:v>1211.28</x:v>
      </x:c>
      <x:c r="J31" s="29" t="n">
        <x:f>ROUND(H31*(1+'Oversikt'!$B$39),2)</x:f>
        <x:v>1514.1</x:v>
      </x:c>
      <x:c r="K31" s="30" t="n">
        <x:v>816</x:v>
      </x:c>
      <x:c r="L31" s="26" t="str">
        <x:v>4307-B83G</x:v>
      </x:c>
      <x:c r="M31" s="26" t="str">
        <x:v>14V4211930990 | Palett
4307-B83G | Eggedal NCS 4307-B83G</x:v>
      </x:c>
      <x:c r="N31" s="26" t="str">
        <x:v>Sigdal</x:v>
      </x:c>
      <x:c r="O31" s="25" t="n">
        <x:v>4</x:v>
      </x:c>
      <x:c r="P31" s="34" t="str"/>
      <x:c r="Q31" s="34" t="str"/>
    </x:row>
    <x:row r="32" ht="44" customHeight="1">
      <x:c r="A32" s="2" t="str">
        <x:v>L28</x:v>
      </x:c>
      <x:c r="B32" s="27" t="str">
        <x:v>Tilbehør, øvrig Sigdal</x:v>
      </x:c>
      <x:c r="C32" s="15"/>
      <x:c r="D32" s="37" t="str">
        <x:v>14NC0990</x:v>
      </x:c>
      <x:c r="E32" s="27" t="str">
        <x:v>Flekklakk NCSS 20ml</x:v>
      </x:c>
      <x:c r="F32" s="2" t="n">
        <x:v>1</x:v>
      </x:c>
      <x:c r="G32" s="12" t="n">
        <x:v>0.25</x:v>
      </x:c>
      <x:c r="H32" s="10" t="n">
        <x:v>97.12</x:v>
      </x:c>
      <x:c r="I32" s="10" t="n">
        <x:f>H32/F32</x:f>
        <x:v>97.12</x:v>
      </x:c>
      <x:c r="J32" s="10" t="n">
        <x:f>ROUND(H32*(1+'Oversikt'!$B$39),2)</x:f>
        <x:v>121.4</x:v>
      </x:c>
      <x:c r="K32" s="31"/>
      <x:c r="L32" s="27" t="str">
        <x:v>4307-B83G</x:v>
      </x:c>
      <x:c r="M32" s="27" t="str">
        <x:v>14NCV0990 | Flekklakk valgfri NCS 0990
4307-B83G | Eggedal NCS 4307-B83G</x:v>
      </x:c>
      <x:c r="N32" s="27" t="str">
        <x:v>Sigdal</x:v>
      </x:c>
      <x:c r="O32" s="2" t="n">
        <x:v>4</x:v>
      </x:c>
      <x:c r="P32" s="34" t="str"/>
      <x:c r="Q32" s="34" t="str"/>
    </x:row>
    <x:row r="33" ht="44" customHeight="1">
      <x:c r="A33" s="25" t="str">
        <x:v>L29</x:v>
      </x:c>
      <x:c r="B33" s="26" t="str">
        <x:v>Tilbehør, øvrig Sigdal</x:v>
      </x:c>
      <x:c r="C33" s="35"/>
      <x:c r="D33" s="36" t="str">
        <x:v>14NC0990</x:v>
      </x:c>
      <x:c r="E33" s="26" t="str">
        <x:v>Flekklakk NCSS 20ml</x:v>
      </x:c>
      <x:c r="F33" s="25" t="n">
        <x:v>1</x:v>
      </x:c>
      <x:c r="G33" s="28" t="n">
        <x:v>0.25</x:v>
      </x:c>
      <x:c r="H33" s="29" t="n">
        <x:v>97.12</x:v>
      </x:c>
      <x:c r="I33" s="29" t="n">
        <x:f>H33/F33</x:f>
        <x:v>97.12</x:v>
      </x:c>
      <x:c r="J33" s="29" t="n">
        <x:f>ROUND(H33*(1+'Oversikt'!$B$39),2)</x:f>
        <x:v>121.4</x:v>
      </x:c>
      <x:c r="K33" s="30"/>
      <x:c r="L33" s="26" t="str">
        <x:v>S2005-G70Y</x:v>
      </x:c>
      <x:c r="M33" s="26" t="str">
        <x:v>14NCV0990 | Flekklakk valgfri NCS 0990
S2005-G70Y | Eggedal NCS S2005-G70Y</x:v>
      </x:c>
      <x:c r="N33" s="26" t="str">
        <x:v>Sigdal</x:v>
      </x:c>
      <x:c r="O33" s="25" t="n">
        <x:v>4</x:v>
      </x:c>
      <x:c r="P33" s="34" t="str"/>
      <x:c r="Q33" s="34" t="str"/>
    </x:row>
    <x:row r="34" ht="44" customHeight="1">
      <x:c r="A34" s="2" t="str">
        <x:v>L30</x:v>
      </x:c>
      <x:c r="B34" s="27" t="str">
        <x:v>Fra plukkliste, øvrig Sigdal</x:v>
      </x:c>
      <x:c r="C34" s="15"/>
      <x:c r="D34" s="37" t="str">
        <x:v>141504691</x:v>
      </x:c>
      <x:c r="E34" s="27" t="str">
        <x:v>Dør u/hengsel 60x70 V</x:v>
      </x:c>
      <x:c r="F34" s="2" t="n">
        <x:v>1</x:v>
      </x:c>
      <x:c r="G34" s="12" t="n">
        <x:v>0.25</x:v>
      </x:c>
      <x:c r="H34" s="10" t="n">
        <x:v>1356.1</x:v>
      </x:c>
      <x:c r="I34" s="10" t="n">
        <x:f>H34/F34</x:f>
        <x:v>1356.1</x:v>
      </x:c>
      <x:c r="J34" s="10" t="n">
        <x:f>ROUND(H34*(1+'Oversikt'!$B$39),2)</x:f>
        <x:v>1695.13</x:v>
      </x:c>
      <x:c r="K34" s="31"/>
      <x:c r="L34" s="27" t="str">
        <x:v>4307-B83G</x:v>
      </x:c>
      <x:c r="M34" s="27" t="str">
        <x:v>14V150469028 | Uno Palett
4307-B83G | Eggedal NCS 4307-B83G</x:v>
      </x:c>
      <x:c r="N34" s="27" t="str">
        <x:v>Sigdal</x:v>
      </x:c>
      <x:c r="O34" s="2" t="n">
        <x:v>4</x:v>
      </x:c>
      <x:c r="P34" s="34" t="str"/>
      <x:c r="Q34" s="34" t="str"/>
    </x:row>
    <x:row r="35" ht="44" customHeight="1">
      <x:c r="A35" s="25" t="str">
        <x:v>L31</x:v>
      </x:c>
      <x:c r="B35" s="26" t="str">
        <x:v>Fra plukkliste, øvrig Sigdal</x:v>
      </x:c>
      <x:c r="C35" s="35"/>
      <x:c r="D35" s="36" t="str">
        <x:v>141504491</x:v>
      </x:c>
      <x:c r="E35" s="26" t="str">
        <x:v>Dør u/hengsel 60x86 V</x:v>
      </x:c>
      <x:c r="F35" s="25" t="n">
        <x:v>3</x:v>
      </x:c>
      <x:c r="G35" s="28" t="n">
        <x:v>0.25</x:v>
      </x:c>
      <x:c r="H35" s="29" t="n">
        <x:v>4664.39</x:v>
      </x:c>
      <x:c r="I35" s="29" t="n">
        <x:f>H35/F35</x:f>
        <x:v>1554.7966666666669</x:v>
      </x:c>
      <x:c r="J35" s="29" t="n">
        <x:f>ROUND(H35*(1+'Oversikt'!$B$39),2)</x:f>
        <x:v>5830.49</x:v>
      </x:c>
      <x:c r="K35" s="30"/>
      <x:c r="L35" s="26" t="str">
        <x:v>S2005-G70Y</x:v>
      </x:c>
      <x:c r="M35" s="26" t="str">
        <x:v>14V150449028 | Uno Palett
S2005-G70Y | Eggedal NCS S2005-G70Y</x:v>
      </x:c>
      <x:c r="N35" s="26" t="str">
        <x:v>Sigdal</x:v>
      </x:c>
      <x:c r="O35" s="25" t="n">
        <x:v>4</x:v>
      </x:c>
      <x:c r="P35" s="34" t="str"/>
      <x:c r="Q35" s="34" t="str"/>
    </x:row>
    <x:row r="36" ht="44" customHeight="1">
      <x:c r="A36" s="2" t="str">
        <x:v>L32</x:v>
      </x:c>
      <x:c r="B36" s="27" t="str">
        <x:v>Fra plukkliste, øvrig Sigdal</x:v>
      </x:c>
      <x:c r="C36" s="15"/>
      <x:c r="D36" s="37" t="str">
        <x:v>141649370</x:v>
      </x:c>
      <x:c r="E36" s="27" t="str">
        <x:v>Tandem skuff 60cm nr46, H700 D450. front 348+348, inkl. komplett kildesortering</x:v>
      </x:c>
      <x:c r="F36" s="2" t="n">
        <x:v>1</x:v>
      </x:c>
      <x:c r="G36" s="12" t="n">
        <x:v>0.25</x:v>
      </x:c>
      <x:c r="H36" s="10" t="n">
        <x:v>5461.83</x:v>
      </x:c>
      <x:c r="I36" s="10" t="n">
        <x:f>H36/F36</x:f>
        <x:v>5461.83</x:v>
      </x:c>
      <x:c r="J36" s="10" t="n">
        <x:f>ROUND(H36*(1+'Oversikt'!$B$39),2)</x:f>
        <x:v>6827.29</x:v>
      </x:c>
      <x:c r="K36" s="31"/>
      <x:c r="L36" s="27" t="str">
        <x:v>4307-B83G</x:v>
      </x:c>
      <x:c r="M36" s="27" t="str">
        <x:v>14V164937028 | Uno Palett
4307-B83G | Eggedal NCS 4307-B83G</x:v>
      </x:c>
      <x:c r="N36" s="27" t="str">
        <x:v>Sigdal</x:v>
      </x:c>
      <x:c r="O36" s="2" t="n">
        <x:v>4</x:v>
      </x:c>
      <x:c r="P36" s="34" t="str"/>
      <x:c r="Q36" s="34" t="str"/>
    </x:row>
    <x:row r="37" ht="44" customHeight="1">
      <x:c r="A37" s="25" t="str">
        <x:v>L33</x:v>
      </x:c>
      <x:c r="B37" s="26" t="str">
        <x:v>Fra plukkliste, øvrig Sigdal</x:v>
      </x:c>
      <x:c r="C37" s="35"/>
      <x:c r="D37" s="36" t="str">
        <x:v>141612730</x:v>
      </x:c>
      <x:c r="E37" s="26" t="str">
        <x:v>Tandem skuffefront 596x124 nr1</x:v>
      </x:c>
      <x:c r="F37" s="25" t="n">
        <x:v>3</x:v>
      </x:c>
      <x:c r="G37" s="28" t="n">
        <x:v>0.25</x:v>
      </x:c>
      <x:c r="H37" s="29" t="n">
        <x:v>839.32</x:v>
      </x:c>
      <x:c r="I37" s="29" t="n">
        <x:f>H37/F37</x:f>
        <x:v>279.77333333333337</x:v>
      </x:c>
      <x:c r="J37" s="29" t="n">
        <x:f>ROUND(H37*(1+'Oversikt'!$B$39),2)</x:f>
        <x:v>1049.15</x:v>
      </x:c>
      <x:c r="K37" s="30"/>
      <x:c r="L37" s="26" t="str">
        <x:v>4307-B83G</x:v>
      </x:c>
      <x:c r="M37" s="26" t="str">
        <x:v>14V161273028 | Uno Palett
4307-B83G | Eggedal NCS 4307-B83G</x:v>
      </x:c>
      <x:c r="N37" s="26" t="str">
        <x:v>Sigdal</x:v>
      </x:c>
      <x:c r="O37" s="25" t="n">
        <x:v>4</x:v>
      </x:c>
      <x:c r="P37" s="34" t="str"/>
      <x:c r="Q37" s="34" t="str"/>
    </x:row>
    <x:row r="38" ht="44" customHeight="1">
      <x:c r="A38" s="2" t="str">
        <x:v>L34</x:v>
      </x:c>
      <x:c r="B38" s="27" t="str">
        <x:v>Fra plukkliste, øvrig Sigdal</x:v>
      </x:c>
      <x:c r="C38" s="15"/>
      <x:c r="D38" s="37" t="str">
        <x:v>141612920</x:v>
      </x:c>
      <x:c r="E38" s="27" t="str">
        <x:v>Tandem skuffefront 596x316 nr6</x:v>
      </x:c>
      <x:c r="F38" s="2" t="n">
        <x:v>1</x:v>
      </x:c>
      <x:c r="G38" s="12" t="n">
        <x:v>0.25</x:v>
      </x:c>
      <x:c r="H38" s="10" t="n">
        <x:v>619.25</x:v>
      </x:c>
      <x:c r="I38" s="10" t="n">
        <x:f>H38/F38</x:f>
        <x:v>619.25</x:v>
      </x:c>
      <x:c r="J38" s="10" t="n">
        <x:f>ROUND(H38*(1+'Oversikt'!$B$39),2)</x:f>
        <x:v>774.06</x:v>
      </x:c>
      <x:c r="K38" s="31"/>
      <x:c r="L38" s="27" t="str">
        <x:v>4307-B83G</x:v>
      </x:c>
      <x:c r="M38" s="27" t="str">
        <x:v>14V161292028 | Uno Palett
4307-B83G | Eggedal NCS 4307-B83G</x:v>
      </x:c>
      <x:c r="N38" s="27" t="str">
        <x:v>Sigdal</x:v>
      </x:c>
      <x:c r="O38" s="2" t="n">
        <x:v>4</x:v>
      </x:c>
      <x:c r="P38" s="34" t="str"/>
      <x:c r="Q38" s="34" t="str"/>
    </x:row>
    <x:row r="39" ht="44" customHeight="1">
      <x:c r="A39" s="25" t="str">
        <x:v>L35</x:v>
      </x:c>
      <x:c r="B39" s="26" t="str">
        <x:v>Benkeplate</x:v>
      </x:c>
      <x:c r="C39" s="35"/>
      <x:c r="D39" s="36" t="str">
        <x:v>005</x:v>
      </x:c>
      <x:c r="E39" s="26" t="str">
        <x:v>Bianco Drift 20mm Kompositt Polert Hull til vask, kran og koketopp. ink oppmåling, frakt og montering.</x:v>
      </x:c>
      <x:c r="F39" s="25" t="n">
        <x:v>1</x:v>
      </x:c>
      <x:c r="G39" s="28" t="n">
        <x:v>0</x:v>
      </x:c>
      <x:c r="H39" s="29" t="n">
        <x:v>44000</x:v>
      </x:c>
      <x:c r="I39" s="29" t="n">
        <x:f>H39/F39</x:f>
        <x:v>44000</x:v>
      </x:c>
      <x:c r="J39" s="29" t="n">
        <x:f>ROUND(H39*(1+'Oversikt'!$B$39),2)</x:f>
        <x:v>55000</x:v>
      </x:c>
      <x:c r="K39" s="30"/>
      <x:c r="L39" s="26" t="str"/>
      <x:c r="M39" s="26" t="str"/>
      <x:c r="N39" s="26" t="str">
        <x:v>Sigvartsen</x:v>
      </x:c>
      <x:c r="O39" s="25" t="n">
        <x:v>4</x:v>
      </x:c>
      <x:c r="P39" s="34" t="str"/>
      <x:c r="Q39" s="34" t="str"/>
    </x:row>
    <x:row r="40" ht="44" customHeight="1">
      <x:c r="A40" s="2" t="str">
        <x:v>L36</x:v>
      </x:c>
      <x:c r="B40" s="27" t="str">
        <x:v>Vask og Blandebatteri</x:v>
      </x:c>
      <x:c r="C40" s="15"/>
      <x:c r="D40" s="37" t="str">
        <x:v>1821606</x:v>
      </x:c>
      <x:c r="E40" s="27" t="str">
        <x:v>Blanco Etagon 500 - u Rustfritt stål ink vannlås, infino, Etagon skinner x2</x:v>
      </x:c>
      <x:c r="F40" s="2" t="n">
        <x:v>1</x:v>
      </x:c>
      <x:c r="G40" s="12" t="n">
        <x:v>0.1</x:v>
      </x:c>
      <x:c r="H40" s="10" t="n">
        <x:v>9028.8</x:v>
      </x:c>
      <x:c r="I40" s="10" t="n">
        <x:f>H40/F40</x:f>
        <x:v>9028.8</x:v>
      </x:c>
      <x:c r="J40" s="10" t="n">
        <x:f>ROUND(H40*(1+'Oversikt'!$B$39),2)</x:f>
        <x:v>11286</x:v>
      </x:c>
      <x:c r="K40" s="31"/>
      <x:c r="L40" s="27" t="str"/>
      <x:c r="M40" s="27" t="str"/>
      <x:c r="N40" s="27" t="str">
        <x:v>Blanco</x:v>
      </x:c>
      <x:c r="O40" s="2" t="n">
        <x:v>4</x:v>
      </x:c>
      <x:c r="P40" s="34" t="str"/>
      <x:c r="Q40" s="34" t="str"/>
    </x:row>
    <x:row r="41" ht="44" customHeight="1">
      <x:c r="A41" s="25" t="str">
        <x:v>L37</x:v>
      </x:c>
      <x:c r="B41" s="26" t="str">
        <x:v>Vask og Blandebatteri</x:v>
      </x:c>
      <x:c r="C41" s="35"/>
      <x:c r="D41" s="36" t="str">
        <x:v>1856646</x:v>
      </x:c>
      <x:c r="E41" s="26" t="str">
        <x:v>Blanco Linus S m/uttrekkstut</x:v>
      </x:c>
      <x:c r="F41" s="25" t="n">
        <x:v>1</x:v>
      </x:c>
      <x:c r="G41" s="28" t="n">
        <x:v>0.1</x:v>
      </x:c>
      <x:c r="H41" s="29" t="n">
        <x:v>7493.76</x:v>
      </x:c>
      <x:c r="I41" s="29" t="n">
        <x:f>H41/F41</x:f>
        <x:v>7493.76</x:v>
      </x:c>
      <x:c r="J41" s="29" t="n">
        <x:f>ROUND(H41*(1+'Oversikt'!$B$39),2)</x:f>
        <x:v>9367.2</x:v>
      </x:c>
      <x:c r="K41" s="30"/>
      <x:c r="L41" s="26" t="str"/>
      <x:c r="M41" s="26" t="str"/>
      <x:c r="N41" s="26" t="str">
        <x:v>Blanco</x:v>
      </x:c>
      <x:c r="O41" s="25" t="n">
        <x:v>4</x:v>
      </x:c>
      <x:c r="P41" s="34" t="str"/>
      <x:c r="Q41" s="34" t="str"/>
    </x:row>
    <x:row r="42" ht="44" customHeight="1">
      <x:c r="A42" s="2" t="str">
        <x:v>L38</x:v>
      </x:c>
      <x:c r="B42" s="27" t="str">
        <x:v>Håndtak</x:v>
      </x:c>
      <x:c r="C42" s="15"/>
      <x:c r="D42" s="37" t="str">
        <x:v>30927311</x:v>
      </x:c>
      <x:c r="E42" s="27" t="str">
        <x:v>Håndtak Helix Stripe - 128mm - Rustfri look</x:v>
      </x:c>
      <x:c r="F42" s="2" t="n">
        <x:v>29</x:v>
      </x:c>
      <x:c r="G42" s="12" t="n">
        <x:v>0.1</x:v>
      </x:c>
      <x:c r="H42" s="10" t="n">
        <x:v>4698</x:v>
      </x:c>
      <x:c r="I42" s="10" t="n">
        <x:f>H42/F42</x:f>
        <x:v>162</x:v>
      </x:c>
      <x:c r="J42" s="10" t="n">
        <x:f>ROUND(H42*(1+'Oversikt'!$B$39),2)</x:f>
        <x:v>5872.5</x:v>
      </x:c>
      <x:c r="K42" s="31"/>
      <x:c r="L42" s="27" t="str"/>
      <x:c r="M42" s="27" t="str"/>
      <x:c r="N42" s="27" t="str">
        <x:v>Beslag og Design</x:v>
      </x:c>
      <x:c r="O42" s="2" t="n">
        <x:v>4</x:v>
      </x:c>
      <x:c r="P42" s="34" t="str"/>
      <x:c r="Q42" s="34" t="str"/>
    </x:row>
  </x:sheetData>
  <x:dataValidations count="1">
    <x:dataValidation type="list" sqref="P5:P42">
      <x:formula1>"Beholde,Vurdere,Endre,Fjerne"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ce719357fe4d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5" hidden="0" customWidth="1"/>
    <x:col min="3" max="3" width="12" hidden="0" customWidth="1"/>
  </x:cols>
  <x:sheetData>
    <x:row r="1" ht="32" customHeight="1">
      <x:c r="A1" s="3" t="str">
        <x:v>Vilkår og merknader</x:v>
      </x:c>
      <x:c r="B1" s="2"/>
      <x:c r="C1" s="2"/>
    </x:row>
    <x:row r="2" ht="25" customHeight="1">
      <x:c r="A2" s="4" t="str">
        <x:v>Kilde: Tilbud Forbruker _ Kjøkken 11.09.pdf</x:v>
      </x:c>
      <x:c r="B2" s="2"/>
      <x:c r="C2" s="2"/>
    </x:row>
    <x:row r="3" ht="25" customHeight="1">
      <x:c r="A3" s="2"/>
      <x:c r="B3" s="2"/>
      <x:c r="C3" s="2"/>
    </x:row>
    <x:row r="4" ht="44" customHeight="1">
      <x:c r="A4" s="7" t="str">
        <x:v>Emne</x:v>
      </x:c>
      <x:c r="B4" s="7" t="str">
        <x:v>Opplysning</x:v>
      </x:c>
      <x:c r="C4" s="7" t="str">
        <x:v>PDF-side</x:v>
      </x:c>
    </x:row>
    <x:row r="5" ht="42" customHeight="1">
      <x:c r="A5" s="38" t="str">
        <x:v>Tilbud</x:v>
      </x:c>
      <x:c r="B5" s="38" t="str">
        <x:v>Kjøkken, alternativ 2. Tegningsnr. 4039.</x:v>
      </x:c>
      <x:c r="C5" s="8" t="str">
        <x:v>1</x:v>
      </x:c>
    </x:row>
    <x:row r="6" ht="28" customHeight="1">
      <x:c r="A6" s="27" t="str">
        <x:v>Tilbudsdato</x:v>
      </x:c>
      <x:c r="B6" s="41" t="n">
        <x:v>46276.5</x:v>
      </x:c>
      <x:c r="C6" s="2" t="str">
        <x:v>1</x:v>
      </x:c>
    </x:row>
    <x:row r="7" ht="28" customHeight="1">
      <x:c r="A7" s="38" t="str">
        <x:v>Gyldig til</x:v>
      </x:c>
      <x:c r="B7" s="42" t="n">
        <x:v>46306.5</x:v>
      </x:c>
      <x:c r="C7" s="8" t="str">
        <x:v>1</x:v>
      </x:c>
    </x:row>
    <x:row r="8" ht="42" customHeight="1">
      <x:c r="A8" s="27" t="str">
        <x:v>Betaling</x:v>
      </x:c>
      <x:c r="B8" s="27" t="str">
        <x:v>50 % ved ordresetting og 50 % ved levering.</x:v>
      </x:c>
      <x:c r="C8" s="2" t="str">
        <x:v>1</x:v>
      </x:c>
    </x:row>
    <x:row r="9" ht="42" customHeight="1">
      <x:c r="A9" s="38" t="str">
        <x:v>Levering</x:v>
      </x:c>
      <x:c r="B9" s="38" t="str">
        <x:v>Etter avtale. Produksjonstid avhenger av materialer, 4-10 uker.</x:v>
      </x:c>
      <x:c r="C9" s="8" t="str">
        <x:v>1</x:v>
      </x:c>
    </x:row>
    <x:row r="10" ht="42" customHeight="1">
      <x:c r="A10" s="27" t="str">
        <x:v>Forhandler</x:v>
      </x:c>
      <x:c r="B10" s="27" t="str">
        <x:v>Oslo Kjøkkensenter AS, Studio Sigdal Vika. Dronning Maudgt 10, 0250 Oslo. Org. 922750297.</x:v>
      </x:c>
      <x:c r="C10" s="2" t="str">
        <x:v>1</x:v>
      </x:c>
    </x:row>
    <x:row r="11" ht="42" customHeight="1">
      <x:c r="A11" s="38" t="str">
        <x:v>Kontakt</x:v>
      </x:c>
      <x:c r="B11" s="38" t="str">
        <x:v>Espen Nyøygard. Espen@studiosigdal-vika.no. Mobil +47 48033778.</x:v>
      </x:c>
      <x:c r="C11" s="8" t="str">
        <x:v>1</x:v>
      </x:c>
    </x:row>
    <x:row r="12" ht="42" customHeight="1">
      <x:c r="A12" s="27" t="str">
        <x:v>Design og skrog</x:v>
      </x:c>
      <x:c r="B12" s="27" t="str">
        <x:v>Uno Palett. Skrog: Hvit, framkant nøtt. NCS-fargene for hver del står i varelinjene.</x:v>
      </x:c>
      <x:c r="C12" s="2" t="str">
        <x:v>2-4</x:v>
      </x:c>
    </x:row>
    <x:row r="13" ht="50" customHeight="1">
      <x:c r="A13" s="38" t="str">
        <x:v>Beløp og rabatt</x:v>
      </x:c>
      <x:c r="B13" s="38" t="str">
        <x:v>PDF-prisene er linjesummer for oppgitt antall, etter rabatt og før mva. Rabatten skal ikke trekkes fra en gang til.</x:v>
      </x:c>
      <x:c r="C13" s="8" t="str">
        <x:v>2-5</x:v>
      </x:c>
    </x:row>
    <x:row r="14" ht="42" customHeight="1">
      <x:c r="A14" s="27" t="str">
        <x:v>Enhetspris</x:v>
      </x:c>
      <x:c r="B14" s="27" t="str">
        <x:v>Beregnet som linjesum delt på antall. PDF-en oppgir ikke egne enhetspriser.</x:v>
      </x:c>
      <x:c r="C14" s="2" t="str">
        <x:v>2-4</x:v>
      </x:c>
    </x:row>
    <x:row r="15" ht="42" customHeight="1">
      <x:c r="A15" s="38" t="str">
        <x:v>Lengde</x:v>
      </x:c>
      <x:c r="B15" s="38" t="str">
        <x:v>Lengde i millimeter, som i PDF-en. Oppgitt lengde er ikke nødvendigvis lengde per enhet.</x:v>
      </x:c>
      <x:c r="C15" s="8" t="str">
        <x:v>3-4</x:v>
      </x:c>
    </x:row>
    <x:row r="16" ht="50" customHeight="1">
      <x:c r="A16" s="27" t="str">
        <x:v>Underartikler</x:v>
      </x:c>
      <x:c r="B16" s="27" t="str">
        <x:v>Front-, skrog-, hengsel- og fargeopplysninger uten egen pris står i spesifikasjonskolonnen. De summeres ikke som egne kostnader.</x:v>
      </x:c>
      <x:c r="C16" s="2" t="str">
        <x:v>2-4</x:v>
      </x:c>
    </x:row>
    <x:row r="17" ht="50" customHeight="1">
      <x:c r="A17" s="38" t="str">
        <x:v>Kategorier</x:v>
      </x:c>
      <x:c r="B17" s="38" t="str">
        <x:v>«Øvrig Sigdal» viser til Sigdal under «Ikke noe skjema». Gjentatte artikler beholdes som separate linjer.</x:v>
      </x:c>
      <x:c r="C17" s="8" t="str">
        <x:v>3-4</x:v>
      </x:c>
    </x:row>
    <x:row r="18" ht="50" customHeight="1">
      <x:c r="A18" s="27" t="str">
        <x:v>Øredifferanser</x:v>
      </x:c>
      <x:c r="B18" s="27" t="str">
        <x:v>Varelinjene summerer til 142 959,25. PDF-en oppgir komponenter til 142 959,23. Ørejusteringen på -0,02 i Oversikt bevarer tilbudets sluttsum på 236 112,50 inkl. mva.</x:v>
      </x:c>
      <x:c r="C18" s="2" t="str">
        <x:v>2-5</x:v>
      </x:c>
    </x:row>
    <x:row r="19" ht="50" customHeight="1">
      <x:c r="A19" s="38" t="str">
        <x:v>Frakt og montering</x:v>
      </x:c>
      <x:c r="B19" s="38" t="str">
        <x:v>Benkeplaten inkluderer oppmåling, frakt og montering. Den generelle frakten på 8 % er beregnet av hele komponentsummen.</x:v>
      </x:c>
      <x:c r="C19" s="8" t="str">
        <x:v>4-5</x:v>
      </x:c>
    </x:row>
    <x:row r="20" ht="50" customHeight="1">
      <x:c r="A20" s="27" t="str">
        <x:v>Beslutninger og notater</x:v>
      </x:c>
      <x:c r="B20" s="27" t="str">
        <x:v>Gule felt i Varelinjer er til deres arbeid. Valg som «Fjerne» endrer ikke prisene eller totalsummen.</x:v>
      </x:c>
      <x:c r="C20" s="2" t="str"/>
    </x:row>
    <x:row r="21" ht="50" customHeight="1">
      <x:c r="A21" s="38" t="str">
        <x:v>PDF-oppsett</x:v>
      </x:c>
      <x:c r="B21" s="38" t="str">
        <x:v>Tilbud som i PDF bevarer tilbudets trykte beløp og delsummer. Delsummene på denne fanen oppdateres ikke ved redigering.</x:v>
      </x:c>
      <x:c r="C21" s="8" t="str">
        <x:v>2-5</x:v>
      </x:c>
    </x:row>
    <x:row r="22" ht="50" customHeight="1">
      <x:c r="A22" s="27" t="str">
        <x:v>Kilde</x:v>
      </x:c>
      <x:c r="B22" s="27" t="str">
        <x:v>Tilbud Forbruker _ Kjøkken 11.09.pdf. Side 1: vilkår. Side 2-5: priser. Side 6-8: perspektivtegninger.</x:v>
      </x:c>
      <x:c r="C22" s="2" t="str">
        <x:v>1-8</x:v>
      </x:c>
    </x:row>
    <x:row r="23" ht="50" customHeight="1">
      <x:c r="A23" s="38" t="str">
        <x:v>Google Sheets</x:v>
      </x:c>
      <x:c r="B23" s="38" t="str">
        <x:v>Importer XLSX-filen via Fil &gt; Importer &gt; Last opp. Velg et nytt regneark for å beholde alle fanene.</x:v>
      </x:c>
      <x:c r="C23" s="8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9.1299991607666" hidden="0" customWidth="1"/>
    <x:col min="3" max="3" width="20" hidden="0" customWidth="1"/>
    <x:col min="4" max="4" width="12.130000114440918" hidden="0" customWidth="1"/>
    <x:col min="5" max="5" width="65.87999725341797" hidden="0" customWidth="1"/>
    <x:col min="6" max="6" width="12" hidden="0" customWidth="1"/>
    <x:col min="7" max="7" width="13.880000114440918" hidden="0" customWidth="1"/>
    <x:col min="8" max="8" width="14.5" hidden="0" customWidth="1"/>
    <x:col min="9" max="9" width="12.5" hidden="0" customWidth="1"/>
    <x:col min="10" max="10" width="9" hidden="0" customWidth="1"/>
    <x:col min="11" max="11" width="13.630000114440918" hidden="0" customWidth="1"/>
    <x:col min="12" max="12" width="8.630000114440918" hidden="0" customWidth="1"/>
  </x:cols>
  <x:sheetData>
    <x:row r="1" ht="33.75" customHeight="1">
      <x:c r="A1" s="144"/>
      <x:c r="B1" s="144"/>
      <x:c r="C1" s="144" t="str">
        <x:v>TILBUD</x:v>
      </x:c>
      <x:c r="D1" s="149"/>
      <x:c r="E1" s="149"/>
      <x:c r="F1" s="149"/>
      <x:c r="G1" s="149"/>
      <x:c r="H1" s="149"/>
      <x:c r="I1" s="149"/>
      <x:c r="J1" s="154"/>
      <x:c r="K1" s="157"/>
    </x:row>
    <x:row r="2" ht="18.75" customHeight="1">
      <x:c r="A2" s="149"/>
      <x:c r="B2" s="149"/>
      <x:c r="C2" s="149" t="str">
        <x:v>Tegning</x:v>
      </x:c>
      <x:c r="D2" s="149"/>
      <x:c r="E2" s="149" t="str">
        <x:v>Kjøkken, Alternativ 2</x:v>
      </x:c>
      <x:c r="F2" s="149"/>
      <x:c r="G2" s="149"/>
      <x:c r="H2" s="149"/>
      <x:c r="I2" s="149"/>
      <x:c r="J2" s="154"/>
      <x:c r="K2" s="157"/>
    </x:row>
    <x:row r="3" ht="18.75" customHeight="1">
      <x:c r="A3" s="149"/>
      <x:c r="B3" s="149"/>
      <x:c r="C3" s="149" t="str">
        <x:v>Kunde</x:v>
      </x:c>
      <x:c r="D3" s="149"/>
      <x:c r="E3" s="149" t="str">
        <x:v>Aslak Lorås Hollund</x:v>
      </x:c>
      <x:c r="F3" s="149"/>
      <x:c r="G3" s="149"/>
      <x:c r="H3" s="149"/>
      <x:c r="I3" s="149"/>
      <x:c r="J3" s="154"/>
      <x:c r="K3" s="157"/>
    </x:row>
    <x:row r="4" ht="18.75" customHeight="1">
      <x:c r="A4" s="149"/>
      <x:c r="B4" s="149"/>
      <x:c r="C4" s="149" t="str">
        <x:v>Tegningsnr</x:v>
      </x:c>
      <x:c r="D4" s="149"/>
      <x:c r="E4" s="149" t="str">
        <x:v>4039</x:v>
      </x:c>
      <x:c r="F4" s="149"/>
      <x:c r="G4" s="149"/>
      <x:c r="H4" s="149"/>
      <x:c r="I4" s="158"/>
      <x:c r="J4" s="154"/>
      <x:c r="K4" s="157"/>
    </x:row>
    <x:row r="5" ht="18.75" customHeight="1">
      <x:c r="A5" s="149"/>
      <x:c r="B5" s="149"/>
      <x:c r="C5" s="149" t="str">
        <x:v>Eggedal NCS</x:v>
      </x:c>
      <x:c r="D5" s="149"/>
      <x:c r="E5" s="149" t="str">
        <x:v>4307-B83G, S2005-G70Y</x:v>
      </x:c>
      <x:c r="F5" s="149"/>
      <x:c r="G5" s="149"/>
      <x:c r="H5" s="149"/>
      <x:c r="I5" s="149"/>
      <x:c r="J5" s="154"/>
      <x:c r="K5" s="157"/>
    </x:row>
    <x:row r="6" ht="18.75" customHeight="1">
      <x:c r="A6" s="149"/>
      <x:c r="B6" s="149"/>
      <x:c r="C6" s="149"/>
      <x:c r="D6" s="149"/>
      <x:c r="E6" s="149"/>
      <x:c r="F6" s="149"/>
      <x:c r="G6" s="149"/>
      <x:c r="H6" s="149"/>
      <x:c r="I6" s="149"/>
      <x:c r="J6" s="154"/>
      <x:c r="K6" s="157"/>
    </x:row>
    <x:row r="7" ht="18.75" customHeight="1">
      <x:c r="A7" s="163"/>
      <x:c r="B7" s="163"/>
      <x:c r="C7" s="163" t="str">
        <x:v>Dørtype/Design</x:v>
      </x:c>
      <x:c r="D7" s="163"/>
      <x:c r="E7" s="163" t="str">
        <x:v>Uno Palett</x:v>
      </x:c>
      <x:c r="F7" s="163"/>
      <x:c r="G7" s="163"/>
      <x:c r="H7" s="163"/>
      <x:c r="I7" s="163"/>
      <x:c r="J7" s="154"/>
      <x:c r="K7" s="157"/>
    </x:row>
    <x:row r="8" ht="18.75" customHeight="1">
      <x:c r="A8" s="149"/>
      <x:c r="B8" s="149"/>
      <x:c r="C8" s="149" t="str">
        <x:v>Skrog</x:v>
      </x:c>
      <x:c r="D8" s="149"/>
      <x:c r="E8" s="149" t="str">
        <x:v>Hvit, framkant nøtt</x:v>
      </x:c>
      <x:c r="F8" s="149"/>
      <x:c r="G8" s="149"/>
      <x:c r="H8" s="149"/>
      <x:c r="I8" s="149"/>
      <x:c r="J8" s="154"/>
      <x:c r="K8" s="157"/>
    </x:row>
    <x:row r="9" ht="18.75" customHeight="1">
      <x:c r="A9" s="149"/>
      <x:c r="B9" s="149"/>
      <x:c r="C9" s="149" t="str">
        <x:v>Dekorskap</x:v>
      </x:c>
      <x:c r="D9" s="149"/>
      <x:c r="E9" s="149" t="str">
        <x:v>$ncs.4307-B83G</x:v>
      </x:c>
      <x:c r="F9" s="149"/>
      <x:c r="G9" s="149"/>
      <x:c r="H9" s="149"/>
      <x:c r="I9" s="149"/>
      <x:c r="J9" s="154"/>
      <x:c r="K9" s="157"/>
    </x:row>
    <x:row r="10" ht="18.75" customHeight="1">
      <x:c r="A10" s="149"/>
      <x:c r="B10" s="149"/>
      <x:c r="C10" s="149" t="str">
        <x:v>Dør</x:v>
      </x:c>
      <x:c r="D10" s="149"/>
      <x:c r="E10" s="149" t="str">
        <x:v>Uno $ncs.4307-b83g</x:v>
      </x:c>
      <x:c r="F10" s="149"/>
      <x:c r="G10" s="149"/>
      <x:c r="H10" s="149"/>
      <x:c r="I10" s="149"/>
      <x:c r="J10" s="154"/>
      <x:c r="K10" s="157"/>
    </x:row>
    <x:row r="11" ht="18.75" customHeight="1">
      <x:c r="A11" s="149"/>
      <x:c r="B11" s="149"/>
      <x:c r="C11" s="149" t="str">
        <x:v>Gesimslist</x:v>
      </x:c>
      <x:c r="D11" s="149"/>
      <x:c r="E11" s="149" t="str">
        <x:v>Rett liggende $ncs.4307-b83g</x:v>
      </x:c>
      <x:c r="F11" s="149"/>
      <x:c r="G11" s="149"/>
      <x:c r="H11" s="149"/>
      <x:c r="I11" s="149"/>
      <x:c r="J11" s="154"/>
      <x:c r="K11" s="157"/>
    </x:row>
    <x:row r="12" ht="18.75" customHeight="1">
      <x:c r="A12" s="149"/>
      <x:c r="B12" s="149"/>
      <x:c r="C12" s="149" t="str">
        <x:v>Håndtak</x:v>
      </x:c>
      <x:c r="D12" s="149"/>
      <x:c r="E12" s="149" t="str">
        <x:v>Tråd rustfri cc 128 mm</x:v>
      </x:c>
      <x:c r="F12" s="149"/>
      <x:c r="G12" s="149"/>
      <x:c r="H12" s="149"/>
      <x:c r="I12" s="149"/>
      <x:c r="J12" s="154"/>
      <x:c r="K12" s="157"/>
    </x:row>
    <x:row r="13" ht="18.75" customHeight="1">
      <x:c r="A13" s="149"/>
      <x:c r="B13" s="149"/>
      <x:c r="C13" s="149"/>
      <x:c r="D13" s="149"/>
      <x:c r="E13" s="149"/>
      <x:c r="F13" s="149"/>
      <x:c r="G13" s="149"/>
      <x:c r="H13" s="149"/>
      <x:c r="I13" s="149"/>
      <x:c r="J13" s="154"/>
      <x:c r="K13" s="157"/>
    </x:row>
    <x:row r="14" ht="24" customHeight="1">
      <x:c r="A14" s="245" t="str">
        <x:v>Rekkefølge i tilbud</x:v>
      </x:c>
      <x:c r="B14" s="246" t="str">
        <x:v>Artikkel - Kategori</x:v>
      </x:c>
      <x:c r="C14" s="246" t="str">
        <x:v>Artikkel</x:v>
      </x:c>
      <x:c r="D14" s="246" t="str">
        <x:v>Pos</x:v>
      </x:c>
      <x:c r="E14" s="246" t="str">
        <x:v>Markedstekst</x:v>
      </x:c>
      <x:c r="F14" s="246" t="str">
        <x:v>Lengde</x:v>
      </x:c>
      <x:c r="G14" s="246" t="str">
        <x:v>Antall</x:v>
      </x:c>
      <x:c r="H14" s="246" t="str">
        <x:v>Rabatt</x:v>
      </x:c>
      <x:c r="I14" s="246" t="str">
        <x:v>Pris tilbud</x:v>
      </x:c>
      <x:c r="J14" s="247" t="str">
        <x:v>Hva/hvor</x:v>
      </x:c>
      <x:c r="K14" s="248" t="str">
        <x:v>Pris kuttet max</x:v>
      </x:c>
    </x:row>
    <x:row r="15" ht="22.5" customHeight="1">
      <x:c r="A15" s="249" t="n">
        <x:v>157</x:v>
      </x:c>
      <x:c r="B15" s="207" t="str">
        <x:v>Sigvartsen - Benkeplate</x:v>
      </x:c>
      <x:c r="C15" s="208" t="str">
        <x:v>005</x:v>
      </x:c>
      <x:c r="D15" s="209"/>
      <x:c r="E15" s="210" t="str">
        <x:v>Bianco Drift 20mm Kompositt Polert Hull til vask, kran og koketopp. ink oppmåling, frakt og montering.</x:v>
      </x:c>
      <x:c r="F15" s="211"/>
      <x:c r="G15" s="209" t="n">
        <x:v>1</x:v>
      </x:c>
      <x:c r="H15" s="209" t="n">
        <x:v>0</x:v>
      </x:c>
      <x:c r="I15" s="212" t="n">
        <x:v>44000</x:v>
      </x:c>
      <x:c r="J15" s="213"/>
      <x:c r="K15" s="250" t="n">
        <x:f>I15</x:f>
        <x:v>44000</x:v>
      </x:c>
    </x:row>
    <x:row r="16" ht="18.75" customHeight="1">
      <x:c r="A16" s="251" t="n">
        <x:v>68</x:v>
      </x:c>
      <x:c r="B16" s="216" t="str">
        <x:v>Sigdal Skap</x:v>
      </x:c>
      <x:c r="C16" s="217" t="str">
        <x:v>1481160751</x:v>
      </x:c>
      <x:c r="D16" s="218" t="n">
        <x:v>19</x:v>
      </x:c>
      <x:c r="E16" s="219" t="str">
        <x:v>Høyskap 75cm S h211.2 V integr, kjøl/frys 1780 f dør-på-dør, 2 dører h1404+h700</x:v>
      </x:c>
      <x:c r="F16" s="220"/>
      <x:c r="G16" s="218" t="n">
        <x:v>1</x:v>
      </x:c>
      <x:c r="H16" s="218" t="n">
        <x:v>0.25</x:v>
      </x:c>
      <x:c r="I16" s="221" t="n">
        <x:v>11130.37</x:v>
      </x:c>
      <x:c r="J16" s="222" t="str">
        <x:v>kjøl</x:v>
      </x:c>
      <x:c r="K16" s="252" t="n">
        <x:f>I16</x:f>
        <x:v>11130.37</x:v>
      </x:c>
    </x:row>
    <x:row r="17" ht="18.75" customHeight="1">
      <x:c r="A17" s="249" t="n">
        <x:v>162</x:v>
      </x:c>
      <x:c r="B17" s="207" t="str">
        <x:v>Blanco - Vask og Blandebatteri</x:v>
      </x:c>
      <x:c r="C17" s="224" t="str">
        <x:v>1821606</x:v>
      </x:c>
      <x:c r="D17" s="209"/>
      <x:c r="E17" s="210" t="str">
        <x:v>Blanco Etagon 500 - u Rustfritt stål ink vannlås, infino, Etagon skinner x2</x:v>
      </x:c>
      <x:c r="F17" s="211"/>
      <x:c r="G17" s="209" t="n">
        <x:v>1</x:v>
      </x:c>
      <x:c r="H17" s="209" t="n">
        <x:v>0.1</x:v>
      </x:c>
      <x:c r="I17" s="212" t="n">
        <x:v>9028.8</x:v>
      </x:c>
      <x:c r="J17" s="213"/>
      <x:c r="K17" s="253" t="n">
        <x:f>I17</x:f>
        <x:v>9028.8</x:v>
      </x:c>
    </x:row>
    <x:row r="18" ht="18.75" customHeight="1">
      <x:c r="A18" s="251" t="n">
        <x:v>163</x:v>
      </x:c>
      <x:c r="B18" s="216" t="str">
        <x:v>Blanco - Vask og Blandebatteri</x:v>
      </x:c>
      <x:c r="C18" s="225" t="str">
        <x:v>1856646</x:v>
      </x:c>
      <x:c r="D18" s="218"/>
      <x:c r="E18" s="219" t="str">
        <x:v>Blanco Linus S m/uttrekkstut</x:v>
      </x:c>
      <x:c r="F18" s="220"/>
      <x:c r="G18" s="218" t="n">
        <x:v>1</x:v>
      </x:c>
      <x:c r="H18" s="218" t="n">
        <x:v>0.1</x:v>
      </x:c>
      <x:c r="I18" s="221" t="n">
        <x:v>7493.76</x:v>
      </x:c>
      <x:c r="J18" s="226"/>
      <x:c r="K18" s="254" t="n">
        <x:f>I18</x:f>
        <x:v>7493.76</x:v>
      </x:c>
    </x:row>
    <x:row r="19" ht="18.75" customHeight="1">
      <x:c r="A19" s="249" t="n">
        <x:v>33</x:v>
      </x:c>
      <x:c r="B19" s="207" t="str">
        <x:v>Sigdal Skap</x:v>
      </x:c>
      <x:c r="C19" s="228" t="str">
        <x:v>1424350680</x:v>
      </x:c>
      <x:c r="D19" s="209" t="n">
        <x:v>7</x:v>
      </x:c>
      <x:c r="E19" s="210" t="str">
        <x:v>Underskap 60cm, 3 legra skuffer, h124 nrL1 h252 nrL5 h316 nrL6</x:v>
      </x:c>
      <x:c r="F19" s="211"/>
      <x:c r="G19" s="209" t="n">
        <x:v>1</x:v>
      </x:c>
      <x:c r="H19" s="209" t="n">
        <x:v>0.25</x:v>
      </x:c>
      <x:c r="I19" s="212" t="n">
        <x:v>7416.68</x:v>
      </x:c>
      <x:c r="J19" s="229" t="str">
        <x:v>u6</x:v>
      </x:c>
      <x:c r="K19" s="255" t="n">
        <x:f>I19</x:f>
        <x:v>7416.68</x:v>
      </x:c>
    </x:row>
    <x:row r="20" ht="18.75" customHeight="1">
      <x:c r="A20" s="251" t="n">
        <x:v>144</x:v>
      </x:c>
      <x:c r="B20" s="216" t="str">
        <x:v>Fra plukkliste</x:v>
      </x:c>
      <x:c r="C20" s="231" t="str">
        <x:v>141649370</x:v>
      </x:c>
      <x:c r="D20" s="218"/>
      <x:c r="E20" s="219" t="str">
        <x:v>Tandem skuff 60cm nr46, H700 D450. front 348+348, inkl. komplett kildesortering</x:v>
      </x:c>
      <x:c r="F20" s="220"/>
      <x:c r="G20" s="218" t="n">
        <x:v>1</x:v>
      </x:c>
      <x:c r="H20" s="218" t="n">
        <x:v>0.25</x:v>
      </x:c>
      <x:c r="I20" s="221" t="n">
        <x:v>5461.83</x:v>
      </x:c>
      <x:c r="J20" s="226" t="str">
        <x:v>u2</x:v>
      </x:c>
      <x:c r="K20" s="256" t="n">
        <x:f>I20</x:f>
        <x:v>5461.83</x:v>
      </x:c>
    </x:row>
    <x:row r="21" ht="18.75" customHeight="1">
      <x:c r="A21" s="249" t="n">
        <x:v>168</x:v>
      </x:c>
      <x:c r="B21" s="207" t="str">
        <x:v>Beslag og Design - Håndtak</x:v>
      </x:c>
      <x:c r="C21" s="233" t="str">
        <x:v>30927311</x:v>
      </x:c>
      <x:c r="D21" s="209"/>
      <x:c r="E21" s="210" t="str">
        <x:v>Håndtak Helix Stripe - 128mm - Rustfri look</x:v>
      </x:c>
      <x:c r="F21" s="211"/>
      <x:c r="G21" s="209" t="n">
        <x:v>29</x:v>
      </x:c>
      <x:c r="H21" s="209" t="n">
        <x:v>0.1</x:v>
      </x:c>
      <x:c r="I21" s="212" t="n">
        <x:v>4698</x:v>
      </x:c>
      <x:c r="J21" s="213"/>
      <x:c r="K21" s="250" t="n">
        <x:f>I21</x:f>
        <x:v>4698</x:v>
      </x:c>
    </x:row>
    <x:row r="22" ht="30" customHeight="1">
      <x:c r="A22" s="251" t="n">
        <x:v>141</x:v>
      </x:c>
      <x:c r="B22" s="216" t="str">
        <x:v>Fra plukkliste</x:v>
      </x:c>
      <x:c r="C22" s="231" t="str">
        <x:v>141504491</x:v>
      </x:c>
      <x:c r="D22" s="218"/>
      <x:c r="E22" s="219" t="str">
        <x:v>Dør u/hengsel 60x86 V</x:v>
      </x:c>
      <x:c r="F22" s="220"/>
      <x:c r="G22" s="218" t="n">
        <x:v>3</x:v>
      </x:c>
      <x:c r="H22" s="218" t="n">
        <x:v>0.25</x:v>
      </x:c>
      <x:c r="I22" s="221" t="n">
        <x:v>4664.39</x:v>
      </x:c>
      <x:c r="J22" s="226" t="str">
        <x:v>ikke funnet</x:v>
      </x:c>
      <x:c r="K22" s="257" t="n">
        <x:f>I22</x:f>
        <x:v>4664.39</x:v>
      </x:c>
    </x:row>
    <x:row r="23" ht="18.75" customHeight="1">
      <x:c r="A23" s="249" t="n">
        <x:v>19</x:v>
      </x:c>
      <x:c r="B23" s="207" t="str">
        <x:v>Sigdal Skap</x:v>
      </x:c>
      <x:c r="C23" s="228" t="str">
        <x:v>1421200800</x:v>
      </x:c>
      <x:c r="D23" s="209" t="n">
        <x:v>1</x:v>
      </x:c>
      <x:c r="E23" s="210" t="str">
        <x:v>Underskap 80cm, 2 hyller, 2 dører h700</x:v>
      </x:c>
      <x:c r="F23" s="211"/>
      <x:c r="G23" s="209" t="n">
        <x:v>1</x:v>
      </x:c>
      <x:c r="H23" s="209" t="n">
        <x:v>0.25</x:v>
      </x:c>
      <x:c r="I23" s="212" t="n">
        <x:v>4355.21</x:v>
      </x:c>
      <x:c r="J23" s="229" t="str">
        <x:v>ekstra</x:v>
      </x:c>
      <x:c r="K23" s="258" t="n">
        <x:f>I23</x:f>
        <x:v>4355.21</x:v>
      </x:c>
    </x:row>
    <x:row r="24" ht="18.75" customHeight="1">
      <x:c r="A24" s="251" t="n">
        <x:v>28</x:v>
      </x:c>
      <x:c r="B24" s="216" t="str">
        <x:v>Sigdal Skap</x:v>
      </x:c>
      <x:c r="C24" s="217" t="str">
        <x:v>1421200602</x:v>
      </x:c>
      <x:c r="D24" s="218" t="n">
        <x:v>6</x:v>
      </x:c>
      <x:c r="E24" s="219" t="str">
        <x:v>Underskap 60cm H, 2 hyller, 1 dør h700</x:v>
      </x:c>
      <x:c r="F24" s="220"/>
      <x:c r="G24" s="218" t="n">
        <x:v>1</x:v>
      </x:c>
      <x:c r="H24" s="218" t="n">
        <x:v>0.25</x:v>
      </x:c>
      <x:c r="I24" s="221" t="n">
        <x:v>3456.19</x:v>
      </x:c>
      <x:c r="J24" s="222" t="str">
        <x:v>u5</x:v>
      </x:c>
      <x:c r="K24" s="259" t="n">
        <x:f>I24</x:f>
        <x:v>3456.19</x:v>
      </x:c>
    </x:row>
    <x:row r="25" ht="18.75" customHeight="1">
      <x:c r="A25" s="249" t="n">
        <x:v>53</x:v>
      </x:c>
      <x:c r="B25" s="207" t="str">
        <x:v>Sigdal Skap</x:v>
      </x:c>
      <x:c r="C25" s="228" t="str">
        <x:v>1450100601</x:v>
      </x:c>
      <x:c r="D25" s="209" t="n">
        <x:v>13</x:v>
      </x:c>
      <x:c r="E25" s="210" t="str">
        <x:v>Overskap 60cm S h86.4 V, 3 hyller. 1 dør h860</x:v>
      </x:c>
      <x:c r="F25" s="211"/>
      <x:c r="G25" s="209" t="n">
        <x:v>1</x:v>
      </x:c>
      <x:c r="H25" s="209" t="n">
        <x:v>0.25</x:v>
      </x:c>
      <x:c r="I25" s="212" t="n">
        <x:v>3239.68</x:v>
      </x:c>
      <x:c r="J25" s="229" t="str">
        <x:v>o5</x:v>
      </x:c>
      <x:c r="K25" s="258" t="n">
        <x:f>I25</x:f>
        <x:v>3239.68</x:v>
      </x:c>
    </x:row>
    <x:row r="26" ht="18.75" customHeight="1">
      <x:c r="A26" s="251" t="n">
        <x:v>58</x:v>
      </x:c>
      <x:c r="B26" s="216" t="str">
        <x:v>Sigdal Skap</x:v>
      </x:c>
      <x:c r="C26" s="217" t="str">
        <x:v>1450100601</x:v>
      </x:c>
      <x:c r="D26" s="218" t="n">
        <x:v>14</x:v>
      </x:c>
      <x:c r="E26" s="219" t="str">
        <x:v>Overskap 60cm S h86.4 V, 3 hyller. 1 dør h860</x:v>
      </x:c>
      <x:c r="F26" s="220"/>
      <x:c r="G26" s="218" t="n">
        <x:v>1</x:v>
      </x:c>
      <x:c r="H26" s="218" t="n">
        <x:v>0.25</x:v>
      </x:c>
      <x:c r="I26" s="221" t="n">
        <x:v>3239.68</x:v>
      </x:c>
      <x:c r="J26" s="222" t="str">
        <x:v>o6</x:v>
      </x:c>
      <x:c r="K26" s="259" t="n">
        <x:f>I26</x:f>
        <x:v>3239.68</x:v>
      </x:c>
    </x:row>
    <x:row r="27" ht="18.75" customHeight="1">
      <x:c r="A27" s="249" t="n">
        <x:v>63</x:v>
      </x:c>
      <x:c r="B27" s="207" t="str">
        <x:v>Sigdal Skap</x:v>
      </x:c>
      <x:c r="C27" s="228" t="str">
        <x:v>1450100602</x:v>
      </x:c>
      <x:c r="D27" s="209" t="n">
        <x:v>15</x:v>
      </x:c>
      <x:c r="E27" s="210" t="str">
        <x:v>Overskap 60cm S h86.4 H, 3 hyller. 1 dør h860</x:v>
      </x:c>
      <x:c r="F27" s="211"/>
      <x:c r="G27" s="209" t="n">
        <x:v>1</x:v>
      </x:c>
      <x:c r="H27" s="209" t="n">
        <x:v>0.25</x:v>
      </x:c>
      <x:c r="I27" s="212" t="n">
        <x:v>3239.68</x:v>
      </x:c>
      <x:c r="J27" s="229"/>
      <x:c r="K27" s="258" t="n">
        <x:f>I27</x:f>
        <x:v>3239.68</x:v>
      </x:c>
    </x:row>
    <x:row r="28" ht="18.75" customHeight="1">
      <x:c r="A28" s="251" t="n">
        <x:v>105</x:v>
      </x:c>
      <x:c r="B28" s="216" t="str">
        <x:v>Sokler</x:v>
      </x:c>
      <x:c r="C28" s="236" t="str">
        <x:v>14251120</x:v>
      </x:c>
      <x:c r="D28" s="218"/>
      <x:c r="E28" s="237" t="str">
        <x:v>Sokkelfront 2420x166</x:v>
      </x:c>
      <x:c r="F28" s="220" t="n">
        <x:v>9680</x:v>
      </x:c>
      <x:c r="G28" s="218" t="n">
        <x:v>4</x:v>
      </x:c>
      <x:c r="H28" s="218" t="n">
        <x:v>0.25</x:v>
      </x:c>
      <x:c r="I28" s="221" t="n">
        <x:v>2986.63</x:v>
      </x:c>
      <x:c r="J28" s="226"/>
      <x:c r="K28" s="256" t="n">
        <x:f>I28</x:f>
        <x:v>2986.63</x:v>
      </x:c>
    </x:row>
    <x:row r="29" ht="18.75" customHeight="1">
      <x:c r="A29" s="249" t="n">
        <x:v>38</x:v>
      </x:c>
      <x:c r="B29" s="207" t="str">
        <x:v>Sigdal Skap</x:v>
      </x:c>
      <x:c r="C29" s="228" t="str">
        <x:v>1440100501</x:v>
      </x:c>
      <x:c r="D29" s="209" t="n">
        <x:v>8</x:v>
      </x:c>
      <x:c r="E29" s="210" t="str">
        <x:v>Overskap 50cm K h70.4 V, 2 hyller. 1 dør h700</x:v>
      </x:c>
      <x:c r="F29" s="211"/>
      <x:c r="G29" s="209" t="n">
        <x:v>1</x:v>
      </x:c>
      <x:c r="H29" s="209" t="n">
        <x:v>0.25</x:v>
      </x:c>
      <x:c r="I29" s="212" t="n">
        <x:v>2599.05</x:v>
      </x:c>
      <x:c r="J29" s="229"/>
      <x:c r="K29" s="258" t="n">
        <x:f>I29</x:f>
        <x:v>2599.05</x:v>
      </x:c>
    </x:row>
    <x:row r="30" ht="18.75" customHeight="1">
      <x:c r="A30" s="251" t="n">
        <x:v>48</x:v>
      </x:c>
      <x:c r="B30" s="216" t="str">
        <x:v>Sigdal Skap</x:v>
      </x:c>
      <x:c r="C30" s="217" t="str">
        <x:v>1440100501</x:v>
      </x:c>
      <x:c r="D30" s="218" t="n">
        <x:v>10</x:v>
      </x:c>
      <x:c r="E30" s="219" t="str">
        <x:v>Overskap 50cm K h70.4 V, 2 hyller. 1 dør h700</x:v>
      </x:c>
      <x:c r="F30" s="220"/>
      <x:c r="G30" s="218" t="n">
        <x:v>1</x:v>
      </x:c>
      <x:c r="H30" s="218" t="n">
        <x:v>0.25</x:v>
      </x:c>
      <x:c r="I30" s="221" t="n">
        <x:v>2599.05</x:v>
      </x:c>
      <x:c r="J30" s="222"/>
      <x:c r="K30" s="259" t="n">
        <x:f>I30</x:f>
        <x:v>2599.05</x:v>
      </x:c>
    </x:row>
    <x:row r="31" ht="18.75" customHeight="1">
      <x:c r="A31" s="249" t="n">
        <x:v>24</x:v>
      </x:c>
      <x:c r="B31" s="207" t="str">
        <x:v>Sigdal Skap</x:v>
      </x:c>
      <x:c r="C31" s="228" t="str">
        <x:v>1421430600</x:v>
      </x:c>
      <x:c r="D31" s="209" t="n">
        <x:v>5</x:v>
      </x:c>
      <x:c r="E31" s="210" t="str">
        <x:v>Underskap for ovn 60cm, Uttrekkbar gitterskuff, h92 nr30, metalrail</x:v>
      </x:c>
      <x:c r="F31" s="211"/>
      <x:c r="G31" s="209" t="n">
        <x:v>1</x:v>
      </x:c>
      <x:c r="H31" s="209" t="n">
        <x:v>0.25</x:v>
      </x:c>
      <x:c r="I31" s="212" t="n">
        <x:v>2425.3</x:v>
      </x:c>
      <x:c r="J31" s="229" t="str">
        <x:v>u4</x:v>
      </x:c>
      <x:c r="K31" s="255" t="n">
        <x:f>I31</x:f>
        <x:v>2425.3</x:v>
      </x:c>
    </x:row>
    <x:row r="32" ht="18.75" customHeight="1">
      <x:c r="A32" s="251" t="n">
        <x:v>43</x:v>
      </x:c>
      <x:c r="B32" s="216" t="str">
        <x:v>Sigdal Skap</x:v>
      </x:c>
      <x:c r="C32" s="217" t="str">
        <x:v>1440100401</x:v>
      </x:c>
      <x:c r="D32" s="218" t="n">
        <x:v>9</x:v>
      </x:c>
      <x:c r="E32" s="219" t="str">
        <x:v>Overskap 40cm K h70.4 V, 2 hyller. 1 dør h700</x:v>
      </x:c>
      <x:c r="F32" s="220"/>
      <x:c r="G32" s="218" t="n">
        <x:v>1</x:v>
      </x:c>
      <x:c r="H32" s="218" t="n">
        <x:v>0.25</x:v>
      </x:c>
      <x:c r="I32" s="221" t="n">
        <x:v>2333.53</x:v>
      </x:c>
      <x:c r="J32" s="222"/>
      <x:c r="K32" s="259" t="n">
        <x:f>I32</x:f>
        <x:v>2333.53</x:v>
      </x:c>
    </x:row>
    <x:row r="33" ht="18.75" customHeight="1">
      <x:c r="A33" s="249" t="n">
        <x:v>83</x:v>
      </x:c>
      <x:c r="B33" s="207" t="str">
        <x:v>Sider</x:v>
      </x:c>
      <x:c r="C33" s="233" t="str">
        <x:v>14379905</x:v>
      </x:c>
      <x:c r="D33" s="209"/>
      <x:c r="E33" s="238" t="str">
        <x:v>Støttes.m/rett kant 2400x585</x:v>
      </x:c>
      <x:c r="F33" s="211"/>
      <x:c r="G33" s="209" t="n">
        <x:v>1</x:v>
      </x:c>
      <x:c r="H33" s="209" t="n">
        <x:v>0.25</x:v>
      </x:c>
      <x:c r="I33" s="212" t="n">
        <x:v>2185.62</x:v>
      </x:c>
      <x:c r="J33" s="213"/>
      <x:c r="K33" s="250" t="n">
        <x:f>I33</x:f>
        <x:v>2185.62</x:v>
      </x:c>
    </x:row>
    <x:row r="34" ht="18.75" customHeight="1">
      <x:c r="A34" s="251" t="n">
        <x:v>74</x:v>
      </x:c>
      <x:c r="B34" s="216" t="str">
        <x:v>Distanse</x:v>
      </x:c>
      <x:c r="C34" s="236" t="str">
        <x:v>14397041</x:v>
      </x:c>
      <x:c r="D34" s="218"/>
      <x:c r="E34" s="237" t="str">
        <x:v>Foring for benkeplate, 10x100x2000</x:v>
      </x:c>
      <x:c r="F34" s="220" t="n">
        <x:v>16000</x:v>
      </x:c>
      <x:c r="G34" s="218" t="n">
        <x:v>8</x:v>
      </x:c>
      <x:c r="H34" s="218" t="n">
        <x:v>0.25</x:v>
      </x:c>
      <x:c r="I34" s="221" t="n">
        <x:v>1956.96</x:v>
      </x:c>
      <x:c r="J34" s="226"/>
      <x:c r="K34" s="256" t="n">
        <x:f>I34</x:f>
        <x:v>1956.96</x:v>
      </x:c>
    </x:row>
    <x:row r="35" ht="18.75" customHeight="1">
      <x:c r="A35" s="249" t="n">
        <x:v>96</x:v>
      </x:c>
      <x:c r="B35" s="207" t="str">
        <x:v>Lister</x:v>
      </x:c>
      <x:c r="C35" s="233" t="str">
        <x:v>14243039</x:v>
      </x:c>
      <x:c r="D35" s="209"/>
      <x:c r="E35" s="238" t="str">
        <x:v>Lyslist/foring 54x2420</x:v>
      </x:c>
      <x:c r="F35" s="211" t="n">
        <x:v>4800</x:v>
      </x:c>
      <x:c r="G35" s="209" t="n">
        <x:v>2</x:v>
      </x:c>
      <x:c r="H35" s="209" t="n">
        <x:v>0.25</x:v>
      </x:c>
      <x:c r="I35" s="212" t="n">
        <x:v>1366.79</x:v>
      </x:c>
      <x:c r="J35" s="213"/>
      <x:c r="K35" s="250" t="n">
        <x:f>I35</x:f>
        <x:v>1366.79</x:v>
      </x:c>
    </x:row>
    <x:row r="36" ht="18.75" customHeight="1">
      <x:c r="A36" s="251" t="n">
        <x:v>119</x:v>
      </x:c>
      <x:c r="B36" s="216" t="str">
        <x:v>Sigdal Skap</x:v>
      </x:c>
      <x:c r="C36" s="231" t="str">
        <x:v>141594660</x:v>
      </x:c>
      <x:c r="D36" s="218"/>
      <x:c r="E36" s="219" t="str">
        <x:v>Dør f/oppvm/innb ubor 596x700, uten dekklister</x:v>
      </x:c>
      <x:c r="F36" s="220"/>
      <x:c r="G36" s="218" t="n">
        <x:v>1</x:v>
      </x:c>
      <x:c r="H36" s="218" t="n">
        <x:v>0.25</x:v>
      </x:c>
      <x:c r="I36" s="221" t="n">
        <x:v>1356.1</x:v>
      </x:c>
      <x:c r="J36" s="226" t="str">
        <x:v>u1</x:v>
      </x:c>
      <x:c r="K36" s="260" t="n">
        <x:f>I36</x:f>
        <x:v>1356.1</x:v>
      </x:c>
    </x:row>
    <x:row r="37" ht="18.75" customHeight="1">
      <x:c r="A37" s="249" t="n">
        <x:v>138</x:v>
      </x:c>
      <x:c r="B37" s="207" t="str">
        <x:v>Fra plukkliste</x:v>
      </x:c>
      <x:c r="C37" s="240" t="str">
        <x:v>141504691</x:v>
      </x:c>
      <x:c r="D37" s="209"/>
      <x:c r="E37" s="210" t="str">
        <x:v>Dør u/hengsel 60x70 V</x:v>
      </x:c>
      <x:c r="F37" s="211"/>
      <x:c r="G37" s="209" t="n">
        <x:v>1</x:v>
      </x:c>
      <x:c r="H37" s="209" t="n">
        <x:v>0.25</x:v>
      </x:c>
      <x:c r="I37" s="212" t="n">
        <x:v>1356.1</x:v>
      </x:c>
      <x:c r="J37" s="213" t="str">
        <x:v>ikke funnet</x:v>
      </x:c>
      <x:c r="K37" s="253" t="n">
        <x:f>I37</x:f>
        <x:v>1356.1</x:v>
      </x:c>
    </x:row>
    <x:row r="38" ht="18.75" customHeight="1">
      <x:c r="A38" s="251" t="n">
        <x:v>77</x:v>
      </x:c>
      <x:c r="B38" s="216" t="str">
        <x:v>Sider</x:v>
      </x:c>
      <x:c r="C38" s="236" t="str">
        <x:v>14379804</x:v>
      </x:c>
      <x:c r="D38" s="218"/>
      <x:c r="E38" s="237" t="str">
        <x:v>Dekkside 16mm 704x350</x:v>
      </x:c>
      <x:c r="F38" s="220"/>
      <x:c r="G38" s="218" t="n">
        <x:v>2</x:v>
      </x:c>
      <x:c r="H38" s="218" t="n">
        <x:v>0.25</x:v>
      </x:c>
      <x:c r="I38" s="221" t="n">
        <x:v>1295.51</x:v>
      </x:c>
      <x:c r="J38" s="226"/>
      <x:c r="K38" s="256" t="n">
        <x:f>I38</x:f>
        <x:v>1295.51</x:v>
      </x:c>
    </x:row>
    <x:row r="39" ht="18.75" customHeight="1">
      <x:c r="A39" s="249" t="n">
        <x:v>80</x:v>
      </x:c>
      <x:c r="B39" s="207" t="str">
        <x:v>Sider</x:v>
      </x:c>
      <x:c r="C39" s="233" t="str">
        <x:v>14379807</x:v>
      </x:c>
      <x:c r="D39" s="209"/>
      <x:c r="E39" s="238" t="str">
        <x:v>Dekkside 16mm 704x585</x:v>
      </x:c>
      <x:c r="F39" s="211"/>
      <x:c r="G39" s="209" t="n">
        <x:v>1</x:v>
      </x:c>
      <x:c r="H39" s="209" t="n">
        <x:v>0.25</x:v>
      </x:c>
      <x:c r="I39" s="212" t="n">
        <x:v>1230.47</x:v>
      </x:c>
      <x:c r="J39" s="213"/>
      <x:c r="K39" s="250" t="n">
        <x:f>I39</x:f>
        <x:v>1230.47</x:v>
      </x:c>
    </x:row>
    <x:row r="40" ht="18.75" customHeight="1">
      <x:c r="A40" s="251" t="n">
        <x:v>125</x:v>
      </x:c>
      <x:c r="B40" s="216" t="str">
        <x:v>Baldakin</x:v>
      </x:c>
      <x:c r="C40" s="236" t="str">
        <x:v>14429993</x:v>
      </x:c>
      <x:c r="D40" s="218"/>
      <x:c r="E40" s="219" t="str">
        <x:v>Baldakin 16mm d585 måltilp, lengde 50-2400, dybde 351-585</x:v>
      </x:c>
      <x:c r="F40" s="220" t="n">
        <x:v>816</x:v>
      </x:c>
      <x:c r="G40" s="218" t="n">
        <x:v>1</x:v>
      </x:c>
      <x:c r="H40" s="218" t="n">
        <x:v>0.25</x:v>
      </x:c>
      <x:c r="I40" s="221" t="n">
        <x:v>1211.28</x:v>
      </x:c>
      <x:c r="J40" s="226"/>
      <x:c r="K40" s="256" t="n">
        <x:f>I40</x:f>
        <x:v>1211.28</x:v>
      </x:c>
    </x:row>
    <x:row r="41" ht="18.75" customHeight="1">
      <x:c r="A41" s="249" t="n">
        <x:v>102</x:v>
      </x:c>
      <x:c r="B41" s="207" t="str">
        <x:v>Sokler</x:v>
      </x:c>
      <x:c r="C41" s="233" t="str">
        <x:v>14251121</x:v>
      </x:c>
      <x:c r="D41" s="209"/>
      <x:c r="E41" s="238" t="str">
        <x:v>Sokkelende 505x166</x:v>
      </x:c>
      <x:c r="F41" s="211"/>
      <x:c r="G41" s="209" t="n">
        <x:v>3</x:v>
      </x:c>
      <x:c r="H41" s="209" t="n">
        <x:v>0.25</x:v>
      </x:c>
      <x:c r="I41" s="212" t="n">
        <x:v>1085.24</x:v>
      </x:c>
      <x:c r="J41" s="213"/>
      <x:c r="K41" s="250" t="n">
        <x:f>I41</x:f>
        <x:v>1085.24</x:v>
      </x:c>
    </x:row>
    <x:row r="42" ht="18.75" customHeight="1">
      <x:c r="A42" s="251" t="n">
        <x:v>101</x:v>
      </x:c>
      <x:c r="B42" s="216" t="str">
        <x:v>Sokler</x:v>
      </x:c>
      <x:c r="C42" s="241" t="str">
        <x:v>143611350000</x:v>
      </x:c>
      <x:c r="D42" s="218"/>
      <x:c r="E42" s="237" t="str">
        <x:v>Sokkelben pk (4 ben + 4 klips)</x:v>
      </x:c>
      <x:c r="F42" s="220"/>
      <x:c r="G42" s="218" t="n">
        <x:v>9</x:v>
      </x:c>
      <x:c r="H42" s="218" t="n">
        <x:v>0.25</x:v>
      </x:c>
      <x:c r="I42" s="221" t="n">
        <x:v>918.54</x:v>
      </x:c>
      <x:c r="J42" s="226"/>
      <x:c r="K42" s="256" t="n">
        <x:f>I42</x:f>
        <x:v>918.54</x:v>
      </x:c>
    </x:row>
    <x:row r="43" ht="18.75" customHeight="1">
      <x:c r="A43" s="249" t="n">
        <x:v>147</x:v>
      </x:c>
      <x:c r="B43" s="207" t="str">
        <x:v>Fra plukkliste</x:v>
      </x:c>
      <x:c r="C43" s="240" t="str">
        <x:v>141612730</x:v>
      </x:c>
      <x:c r="D43" s="209"/>
      <x:c r="E43" s="210" t="str">
        <x:v>Tandem skuffefront 596x124 nr1</x:v>
      </x:c>
      <x:c r="F43" s="211"/>
      <x:c r="G43" s="209" t="n">
        <x:v>3</x:v>
      </x:c>
      <x:c r="H43" s="209" t="n">
        <x:v>0.25</x:v>
      </x:c>
      <x:c r="I43" s="212" t="n">
        <x:v>839.32</x:v>
      </x:c>
      <x:c r="J43" s="213" t="str">
        <x:v>u3</x:v>
      </x:c>
      <x:c r="K43" s="250" t="n">
        <x:f>I43</x:f>
        <x:v>839.32</x:v>
      </x:c>
    </x:row>
    <x:row r="44" ht="18.75" customHeight="1">
      <x:c r="A44" s="251" t="n">
        <x:v>88</x:v>
      </x:c>
      <x:c r="B44" s="216" t="str">
        <x:v>Foringer</x:v>
      </x:c>
      <x:c r="C44" s="236" t="str">
        <x:v>14243039</x:v>
      </x:c>
      <x:c r="D44" s="218"/>
      <x:c r="E44" s="237" t="str">
        <x:v>Lyslist/foring 54x2420</x:v>
      </x:c>
      <x:c r="F44" s="220" t="n">
        <x:v>2420</x:v>
      </x:c>
      <x:c r="G44" s="218" t="n">
        <x:v>1</x:v>
      </x:c>
      <x:c r="H44" s="218" t="n">
        <x:v>0.25</x:v>
      </x:c>
      <x:c r="I44" s="221" t="n">
        <x:v>683.4</x:v>
      </x:c>
      <x:c r="J44" s="226"/>
      <x:c r="K44" s="256" t="n">
        <x:f>I44</x:f>
        <x:v>683.4</x:v>
      </x:c>
    </x:row>
    <x:row r="45" ht="18.75" customHeight="1">
      <x:c r="A45" s="249" t="n">
        <x:v>93</x:v>
      </x:c>
      <x:c r="B45" s="207" t="str">
        <x:v>Lister</x:v>
      </x:c>
      <x:c r="C45" s="233" t="str">
        <x:v>14243039</x:v>
      </x:c>
      <x:c r="D45" s="209"/>
      <x:c r="E45" s="238" t="str">
        <x:v>Lyslist/foring 54x2420</x:v>
      </x:c>
      <x:c r="F45" s="211" t="n">
        <x:v>2400</x:v>
      </x:c>
      <x:c r="G45" s="209" t="n">
        <x:v>1</x:v>
      </x:c>
      <x:c r="H45" s="209" t="n">
        <x:v>0.25</x:v>
      </x:c>
      <x:c r="I45" s="212" t="n">
        <x:v>683.4</x:v>
      </x:c>
      <x:c r="J45" s="213"/>
      <x:c r="K45" s="250" t="n">
        <x:f>I45</x:f>
        <x:v>683.4</x:v>
      </x:c>
    </x:row>
    <x:row r="46" ht="18.75" customHeight="1">
      <x:c r="A46" s="251" t="n">
        <x:v>150</x:v>
      </x:c>
      <x:c r="B46" s="216" t="str">
        <x:v>Fra plukkliste</x:v>
      </x:c>
      <x:c r="C46" s="231" t="str">
        <x:v>141612920</x:v>
      </x:c>
      <x:c r="D46" s="218"/>
      <x:c r="E46" s="219" t="str">
        <x:v>Tandem skuffefront 596x316 nr6</x:v>
      </x:c>
      <x:c r="F46" s="220"/>
      <x:c r="G46" s="218" t="n">
        <x:v>1</x:v>
      </x:c>
      <x:c r="H46" s="218" t="n">
        <x:v>0.25</x:v>
      </x:c>
      <x:c r="I46" s="221" t="n">
        <x:v>619.25</x:v>
      </x:c>
      <x:c r="J46" s="226" t="str">
        <x:v>u3</x:v>
      </x:c>
      <x:c r="K46" s="256" t="n">
        <x:f>I46</x:f>
        <x:v>619.25</x:v>
      </x:c>
    </x:row>
    <x:row r="47" ht="18.75" customHeight="1">
      <x:c r="A47" s="249" t="n">
        <x:v>18</x:v>
      </x:c>
      <x:c r="B47" s="207" t="str">
        <x:v>Sigdal Skap</x:v>
      </x:c>
      <x:c r="C47" s="233" t="str">
        <x:v>14363995</x:v>
      </x:c>
      <x:c r="D47" s="209"/>
      <x:c r="E47" s="238" t="str">
        <x:v>Legra Gummim. f/skuff 524x472</x:v>
      </x:c>
      <x:c r="F47" s="211"/>
      <x:c r="G47" s="209" t="n">
        <x:v>4</x:v>
      </x:c>
      <x:c r="H47" s="209" t="n">
        <x:v>0.25</x:v>
      </x:c>
      <x:c r="I47" s="212" t="n">
        <x:v>615.6</x:v>
      </x:c>
      <x:c r="J47" s="229"/>
      <x:c r="K47" s="255" t="n">
        <x:f>I47</x:f>
        <x:v>615.6</x:v>
      </x:c>
    </x:row>
    <x:row r="48" ht="18.75" customHeight="1">
      <x:c r="A48" s="251" t="n">
        <x:v>37</x:v>
      </x:c>
      <x:c r="B48" s="216" t="str">
        <x:v>Sigdal Skap</x:v>
      </x:c>
      <x:c r="C48" s="236" t="str">
        <x:v>14363995</x:v>
      </x:c>
      <x:c r="D48" s="218"/>
      <x:c r="E48" s="237" t="str">
        <x:v>Legra Gummim. f/skuff 524x472</x:v>
      </x:c>
      <x:c r="F48" s="220"/>
      <x:c r="G48" s="218" t="n">
        <x:v>3</x:v>
      </x:c>
      <x:c r="H48" s="218" t="n">
        <x:v>0.25</x:v>
      </x:c>
      <x:c r="I48" s="221" t="n">
        <x:v>461.7</x:v>
      </x:c>
      <x:c r="J48" s="222"/>
      <x:c r="K48" s="252" t="n">
        <x:f>I48</x:f>
        <x:v>461.7</x:v>
      </x:c>
    </x:row>
    <x:row r="49" ht="18.75" customHeight="1">
      <x:c r="A49" s="249" t="n">
        <x:v>122</x:v>
      </x:c>
      <x:c r="B49" s="207" t="str">
        <x:v>Sigdal Skap</x:v>
      </x:c>
      <x:c r="C49" s="242" t="str">
        <x:v>143679770000</x:v>
      </x:c>
      <x:c r="D49" s="209"/>
      <x:c r="E49" s="238" t="str">
        <x:v>Dekklist 16mm.fr.opv.mask.Stål</x:v>
      </x:c>
      <x:c r="F49" s="211"/>
      <x:c r="G49" s="209" t="n">
        <x:v>1</x:v>
      </x:c>
      <x:c r="H49" s="209" t="n">
        <x:v>0</x:v>
      </x:c>
      <x:c r="I49" s="212" t="n">
        <x:v>329.4</x:v>
      </x:c>
      <x:c r="J49" s="213"/>
      <x:c r="K49" s="250" t="n">
        <x:f>I49</x:f>
        <x:v>329.4</x:v>
      </x:c>
    </x:row>
    <x:row r="50" ht="18.75" customHeight="1">
      <x:c r="A50" s="251" t="n">
        <x:v>110</x:v>
      </x:c>
      <x:c r="B50" s="216" t="str">
        <x:v>Tilbehør</x:v>
      </x:c>
      <x:c r="C50" s="241" t="str">
        <x:v>143679690000</x:v>
      </x:c>
      <x:c r="D50" s="218"/>
      <x:c r="E50" s="237" t="str">
        <x:v>Lufterist Alu. 500x86</x:v>
      </x:c>
      <x:c r="F50" s="220"/>
      <x:c r="G50" s="218" t="n">
        <x:v>1</x:v>
      </x:c>
      <x:c r="H50" s="218" t="n">
        <x:v>0.25</x:v>
      </x:c>
      <x:c r="I50" s="221" t="n">
        <x:v>202.5</x:v>
      </x:c>
      <x:c r="J50" s="226"/>
      <x:c r="K50" s="256" t="n">
        <x:f>I50</x:f>
        <x:v>202.5</x:v>
      </x:c>
    </x:row>
    <x:row r="51" ht="18.75" customHeight="1">
      <x:c r="A51" s="249" t="n">
        <x:v>130</x:v>
      </x:c>
      <x:c r="B51" s="207" t="str">
        <x:v>Tilbehør</x:v>
      </x:c>
      <x:c r="C51" s="243" t="str">
        <x:v>14NC0990</x:v>
      </x:c>
      <x:c r="D51" s="209"/>
      <x:c r="E51" s="238" t="str">
        <x:v>Flekklakk NCSS 20ml</x:v>
      </x:c>
      <x:c r="F51" s="211"/>
      <x:c r="G51" s="209" t="n">
        <x:v>1</x:v>
      </x:c>
      <x:c r="H51" s="209" t="n">
        <x:v>0.25</x:v>
      </x:c>
      <x:c r="I51" s="212" t="n">
        <x:v>97.12</x:v>
      </x:c>
      <x:c r="J51" s="213"/>
      <x:c r="K51" s="250" t="n">
        <x:f>I51</x:f>
        <x:v>97.12</x:v>
      </x:c>
    </x:row>
    <x:row r="52" ht="18.75" customHeight="1">
      <x:c r="A52" s="251" t="n">
        <x:v>133</x:v>
      </x:c>
      <x:c r="B52" s="216" t="str">
        <x:v>Tilbehør</x:v>
      </x:c>
      <x:c r="C52" s="244" t="str">
        <x:v>14NC0990</x:v>
      </x:c>
      <x:c r="D52" s="218"/>
      <x:c r="E52" s="237" t="str">
        <x:v>Flekklakk NCSS 20ml</x:v>
      </x:c>
      <x:c r="F52" s="220"/>
      <x:c r="G52" s="218" t="n">
        <x:v>1</x:v>
      </x:c>
      <x:c r="H52" s="218" t="n">
        <x:v>0.25</x:v>
      </x:c>
      <x:c r="I52" s="221" t="n">
        <x:v>97.12</x:v>
      </x:c>
      <x:c r="J52" s="226"/>
      <x:c r="K52" s="256" t="n">
        <x:f>I52</x:f>
        <x:v>97.12</x:v>
      </x:c>
    </x:row>
    <x:row r="53" ht="18.75" customHeight="1">
      <x:c r="A53" s="249" t="n">
        <x:v>20</x:v>
      </x:c>
      <x:c r="B53" s="207" t="str">
        <x:v>Sigdal Skap</x:v>
      </x:c>
      <x:c r="C53" s="243" t="str">
        <x:v>14V2120080028</x:v>
      </x:c>
      <x:c r="D53" s="209"/>
      <x:c r="E53" s="238" t="str">
        <x:v>Uno Palett</x:v>
      </x:c>
      <x:c r="F53" s="211"/>
      <x:c r="G53" s="209"/>
      <x:c r="H53" s="209"/>
      <x:c r="I53" s="212"/>
      <x:c r="J53" s="229"/>
      <x:c r="K53" s="255"/>
    </x:row>
    <x:row r="54" ht="18.75" customHeight="1">
      <x:c r="A54" s="251" t="n">
        <x:v>21</x:v>
      </x:c>
      <x:c r="B54" s="216" t="str">
        <x:v>Sigdal Skap</x:v>
      </x:c>
      <x:c r="C54" s="244" t="str">
        <x:v>14S2122080K1</x:v>
      </x:c>
      <x:c r="D54" s="218"/>
      <x:c r="E54" s="237" t="str">
        <x:v>Nøtt kant. hvitt skrog</x:v>
      </x:c>
      <x:c r="F54" s="220"/>
      <x:c r="G54" s="218"/>
      <x:c r="H54" s="218"/>
      <x:c r="I54" s="221"/>
      <x:c r="J54" s="222"/>
      <x:c r="K54" s="252"/>
    </x:row>
    <x:row r="55" ht="18.75" customHeight="1">
      <x:c r="A55" s="249" t="n">
        <x:v>22</x:v>
      </x:c>
      <x:c r="B55" s="207" t="str">
        <x:v>Sigdal Skap</x:v>
      </x:c>
      <x:c r="C55" s="233" t="str">
        <x:v>14344171</x:v>
      </x:c>
      <x:c r="D55" s="209"/>
      <x:c r="E55" s="238" t="str">
        <x:v>Hengsel 110gr m/demping</x:v>
      </x:c>
      <x:c r="F55" s="211"/>
      <x:c r="G55" s="209" t="n">
        <x:v>4</x:v>
      </x:c>
      <x:c r="H55" s="209"/>
      <x:c r="I55" s="212"/>
      <x:c r="J55" s="229"/>
      <x:c r="K55" s="255"/>
    </x:row>
    <x:row r="56" ht="18.75" customHeight="1">
      <x:c r="A56" s="251" t="n">
        <x:v>23</x:v>
      </x:c>
      <x:c r="B56" s="216" t="str">
        <x:v>Sigdal Skap</x:v>
      </x:c>
      <x:c r="C56" s="244" t="str">
        <x:v>4307-B83G</x:v>
      </x:c>
      <x:c r="D56" s="218"/>
      <x:c r="E56" s="237" t="str">
        <x:v>Eggedal Cityscape (mørk)</x:v>
      </x:c>
      <x:c r="F56" s="220"/>
      <x:c r="G56" s="218"/>
      <x:c r="H56" s="218"/>
      <x:c r="I56" s="221"/>
      <x:c r="J56" s="222"/>
      <x:c r="K56" s="252"/>
    </x:row>
    <x:row r="57" ht="18.75" customHeight="1">
      <x:c r="A57" s="249" t="n">
        <x:v>25</x:v>
      </x:c>
      <x:c r="B57" s="207" t="str">
        <x:v>Sigdal Skap</x:v>
      </x:c>
      <x:c r="C57" s="243" t="str">
        <x:v>14V2143060028</x:v>
      </x:c>
      <x:c r="D57" s="209"/>
      <x:c r="E57" s="238" t="str">
        <x:v>Uno Palett</x:v>
      </x:c>
      <x:c r="F57" s="211"/>
      <x:c r="G57" s="209"/>
      <x:c r="H57" s="209"/>
      <x:c r="I57" s="212"/>
      <x:c r="J57" s="229"/>
      <x:c r="K57" s="255"/>
    </x:row>
    <x:row r="58" ht="18.75" customHeight="1">
      <x:c r="A58" s="251" t="n">
        <x:v>26</x:v>
      </x:c>
      <x:c r="B58" s="216" t="str">
        <x:v>Sigdal Skap</x:v>
      </x:c>
      <x:c r="C58" s="244" t="str">
        <x:v>14S2140060K1</x:v>
      </x:c>
      <x:c r="D58" s="218"/>
      <x:c r="E58" s="237" t="str">
        <x:v>Nøtt kant. hvitt skrog</x:v>
      </x:c>
      <x:c r="F58" s="220"/>
      <x:c r="G58" s="218"/>
      <x:c r="H58" s="218"/>
      <x:c r="I58" s="221"/>
      <x:c r="J58" s="222"/>
      <x:c r="K58" s="252"/>
    </x:row>
    <x:row r="59" ht="18.75" customHeight="1">
      <x:c r="A59" s="249" t="n">
        <x:v>27</x:v>
      </x:c>
      <x:c r="B59" s="207" t="str">
        <x:v>Sigdal Skap</x:v>
      </x:c>
      <x:c r="C59" s="243" t="str">
        <x:v>4307-B83G</x:v>
      </x:c>
      <x:c r="D59" s="209"/>
      <x:c r="E59" s="238" t="str">
        <x:v>Eggedal Cityscape (mørk)</x:v>
      </x:c>
      <x:c r="F59" s="211"/>
      <x:c r="G59" s="209"/>
      <x:c r="H59" s="209"/>
      <x:c r="I59" s="212"/>
      <x:c r="J59" s="229"/>
      <x:c r="K59" s="255"/>
    </x:row>
    <x:row r="60" ht="18.75" customHeight="1">
      <x:c r="A60" s="251" t="n">
        <x:v>29</x:v>
      </x:c>
      <x:c r="B60" s="216" t="str">
        <x:v>Sigdal Skap</x:v>
      </x:c>
      <x:c r="C60" s="244" t="str">
        <x:v>14V2120060028</x:v>
      </x:c>
      <x:c r="D60" s="218"/>
      <x:c r="E60" s="237" t="str">
        <x:v>Uno Palett</x:v>
      </x:c>
      <x:c r="F60" s="220"/>
      <x:c r="G60" s="218"/>
      <x:c r="H60" s="218"/>
      <x:c r="I60" s="221"/>
      <x:c r="J60" s="222"/>
      <x:c r="K60" s="252"/>
    </x:row>
    <x:row r="61" ht="18.75" customHeight="1">
      <x:c r="A61" s="249" t="n">
        <x:v>30</x:v>
      </x:c>
      <x:c r="B61" s="207" t="str">
        <x:v>Sigdal Skap</x:v>
      </x:c>
      <x:c r="C61" s="243" t="str">
        <x:v>14S2120060K1</x:v>
      </x:c>
      <x:c r="D61" s="209"/>
      <x:c r="E61" s="238" t="str">
        <x:v>Nøtt kant. hvitt skrog</x:v>
      </x:c>
      <x:c r="F61" s="211"/>
      <x:c r="G61" s="209"/>
      <x:c r="H61" s="209"/>
      <x:c r="I61" s="212"/>
      <x:c r="J61" s="229"/>
      <x:c r="K61" s="255"/>
    </x:row>
    <x:row r="62" ht="18.75" customHeight="1">
      <x:c r="A62" s="251" t="n">
        <x:v>31</x:v>
      </x:c>
      <x:c r="B62" s="216" t="str">
        <x:v>Sigdal Skap</x:v>
      </x:c>
      <x:c r="C62" s="236" t="str">
        <x:v>14344171</x:v>
      </x:c>
      <x:c r="D62" s="218"/>
      <x:c r="E62" s="237" t="str">
        <x:v>Hengsel 110gr m/demping</x:v>
      </x:c>
      <x:c r="F62" s="220"/>
      <x:c r="G62" s="218" t="n">
        <x:v>2</x:v>
      </x:c>
      <x:c r="H62" s="218"/>
      <x:c r="I62" s="221"/>
      <x:c r="J62" s="222"/>
      <x:c r="K62" s="252"/>
    </x:row>
    <x:row r="63" ht="18.75" customHeight="1">
      <x:c r="A63" s="249" t="n">
        <x:v>32</x:v>
      </x:c>
      <x:c r="B63" s="207" t="str">
        <x:v>Sigdal Skap</x:v>
      </x:c>
      <x:c r="C63" s="243" t="str">
        <x:v>4307-B83G</x:v>
      </x:c>
      <x:c r="D63" s="209"/>
      <x:c r="E63" s="238" t="str">
        <x:v>Eggedal Cityscape (mørk)</x:v>
      </x:c>
      <x:c r="F63" s="211"/>
      <x:c r="G63" s="209"/>
      <x:c r="H63" s="209"/>
      <x:c r="I63" s="212"/>
      <x:c r="J63" s="229"/>
      <x:c r="K63" s="255"/>
    </x:row>
    <x:row r="64" ht="18.75" customHeight="1">
      <x:c r="A64" s="251" t="n">
        <x:v>34</x:v>
      </x:c>
      <x:c r="B64" s="216" t="str">
        <x:v>Sigdal Skap</x:v>
      </x:c>
      <x:c r="C64" s="244" t="str">
        <x:v>14V2435068028</x:v>
      </x:c>
      <x:c r="D64" s="218"/>
      <x:c r="E64" s="237" t="str">
        <x:v>Uno Palett</x:v>
      </x:c>
      <x:c r="F64" s="220"/>
      <x:c r="G64" s="218"/>
      <x:c r="H64" s="218"/>
      <x:c r="I64" s="221"/>
      <x:c r="J64" s="222"/>
      <x:c r="K64" s="252"/>
    </x:row>
    <x:row r="65" ht="18.75" customHeight="1">
      <x:c r="A65" s="249" t="n">
        <x:v>35</x:v>
      </x:c>
      <x:c r="B65" s="207" t="str">
        <x:v>Sigdal Skap</x:v>
      </x:c>
      <x:c r="C65" s="243" t="str">
        <x:v>14S2432060K1</x:v>
      </x:c>
      <x:c r="D65" s="209"/>
      <x:c r="E65" s="238" t="str">
        <x:v>Nøtt kant. hvit skrog</x:v>
      </x:c>
      <x:c r="F65" s="211"/>
      <x:c r="G65" s="209"/>
      <x:c r="H65" s="209"/>
      <x:c r="I65" s="212"/>
      <x:c r="J65" s="229"/>
      <x:c r="K65" s="255"/>
    </x:row>
    <x:row r="66" ht="18.75" customHeight="1">
      <x:c r="A66" s="251" t="n">
        <x:v>36</x:v>
      </x:c>
      <x:c r="B66" s="216" t="str">
        <x:v>Sigdal Skap</x:v>
      </x:c>
      <x:c r="C66" s="244" t="str">
        <x:v>4307-B83G</x:v>
      </x:c>
      <x:c r="D66" s="218"/>
      <x:c r="E66" s="237" t="str">
        <x:v>Eggedal Cityscape (mørk)</x:v>
      </x:c>
      <x:c r="F66" s="220"/>
      <x:c r="G66" s="218"/>
      <x:c r="H66" s="218"/>
      <x:c r="I66" s="221"/>
      <x:c r="J66" s="222"/>
      <x:c r="K66" s="252"/>
    </x:row>
    <x:row r="67" ht="18.75" customHeight="1">
      <x:c r="A67" s="249" t="n">
        <x:v>39</x:v>
      </x:c>
      <x:c r="B67" s="207" t="str">
        <x:v>Sigdal Skap</x:v>
      </x:c>
      <x:c r="C67" s="243" t="str">
        <x:v>14V4010050028</x:v>
      </x:c>
      <x:c r="D67" s="209"/>
      <x:c r="E67" s="238" t="str">
        <x:v>Uno Palett</x:v>
      </x:c>
      <x:c r="F67" s="211"/>
      <x:c r="G67" s="209"/>
      <x:c r="H67" s="209"/>
      <x:c r="I67" s="212"/>
      <x:c r="J67" s="229"/>
      <x:c r="K67" s="255"/>
    </x:row>
    <x:row r="68" ht="18.75" customHeight="1">
      <x:c r="A68" s="251" t="n">
        <x:v>40</x:v>
      </x:c>
      <x:c r="B68" s="216" t="str">
        <x:v>Sigdal Skap</x:v>
      </x:c>
      <x:c r="C68" s="244" t="str">
        <x:v>14S4010050K1</x:v>
      </x:c>
      <x:c r="D68" s="218"/>
      <x:c r="E68" s="237" t="str">
        <x:v>Nøtt kant. hvitt skrog</x:v>
      </x:c>
      <x:c r="F68" s="220"/>
      <x:c r="G68" s="218"/>
      <x:c r="H68" s="218"/>
      <x:c r="I68" s="221"/>
      <x:c r="J68" s="222"/>
      <x:c r="K68" s="252"/>
    </x:row>
    <x:row r="69" ht="18.75" customHeight="1">
      <x:c r="A69" s="249" t="n">
        <x:v>41</x:v>
      </x:c>
      <x:c r="B69" s="207" t="str">
        <x:v>Sigdal Skap</x:v>
      </x:c>
      <x:c r="C69" s="233" t="str">
        <x:v>14344171</x:v>
      </x:c>
      <x:c r="D69" s="209"/>
      <x:c r="E69" s="238" t="str">
        <x:v>Hengsel 110gr m/demping</x:v>
      </x:c>
      <x:c r="F69" s="211"/>
      <x:c r="G69" s="209" t="n">
        <x:v>2</x:v>
      </x:c>
      <x:c r="H69" s="209"/>
      <x:c r="I69" s="212"/>
      <x:c r="J69" s="229"/>
      <x:c r="K69" s="255"/>
    </x:row>
    <x:row r="70" ht="18.75" customHeight="1">
      <x:c r="A70" s="251" t="n">
        <x:v>42</x:v>
      </x:c>
      <x:c r="B70" s="216" t="str">
        <x:v>Sigdal Skap</x:v>
      </x:c>
      <x:c r="C70" s="244" t="str">
        <x:v>4307-B83G</x:v>
      </x:c>
      <x:c r="D70" s="218"/>
      <x:c r="E70" s="237" t="str">
        <x:v>Eggedal Cityscape (mørk)</x:v>
      </x:c>
      <x:c r="F70" s="220"/>
      <x:c r="G70" s="218"/>
      <x:c r="H70" s="218"/>
      <x:c r="I70" s="221"/>
      <x:c r="J70" s="222"/>
      <x:c r="K70" s="252"/>
    </x:row>
    <x:row r="71" ht="18.75" customHeight="1">
      <x:c r="A71" s="249" t="n">
        <x:v>44</x:v>
      </x:c>
      <x:c r="B71" s="207" t="str">
        <x:v>Sigdal Skap</x:v>
      </x:c>
      <x:c r="C71" s="243" t="str">
        <x:v>14V4010040028</x:v>
      </x:c>
      <x:c r="D71" s="209"/>
      <x:c r="E71" s="238" t="str">
        <x:v>Uno Palett</x:v>
      </x:c>
      <x:c r="F71" s="211"/>
      <x:c r="G71" s="209"/>
      <x:c r="H71" s="209"/>
      <x:c r="I71" s="212"/>
      <x:c r="J71" s="229"/>
      <x:c r="K71" s="255"/>
    </x:row>
    <x:row r="72" ht="18.75" customHeight="1">
      <x:c r="A72" s="251" t="n">
        <x:v>45</x:v>
      </x:c>
      <x:c r="B72" s="216" t="str">
        <x:v>Sigdal Skap</x:v>
      </x:c>
      <x:c r="C72" s="244" t="str">
        <x:v>14S4010040K1</x:v>
      </x:c>
      <x:c r="D72" s="218"/>
      <x:c r="E72" s="237" t="str">
        <x:v>Nøtt kant. hvitt skrog</x:v>
      </x:c>
      <x:c r="F72" s="220"/>
      <x:c r="G72" s="218"/>
      <x:c r="H72" s="218"/>
      <x:c r="I72" s="221"/>
      <x:c r="J72" s="222"/>
      <x:c r="K72" s="252"/>
    </x:row>
    <x:row r="73" ht="18.75" customHeight="1">
      <x:c r="A73" s="249" t="n">
        <x:v>46</x:v>
      </x:c>
      <x:c r="B73" s="207" t="str">
        <x:v>Sigdal Skap</x:v>
      </x:c>
      <x:c r="C73" s="233" t="str">
        <x:v>14344171</x:v>
      </x:c>
      <x:c r="D73" s="209"/>
      <x:c r="E73" s="238" t="str">
        <x:v>Hengsel 110gr m/demping</x:v>
      </x:c>
      <x:c r="F73" s="211"/>
      <x:c r="G73" s="209" t="n">
        <x:v>2</x:v>
      </x:c>
      <x:c r="H73" s="209"/>
      <x:c r="I73" s="212"/>
      <x:c r="J73" s="229"/>
      <x:c r="K73" s="255"/>
    </x:row>
    <x:row r="74" ht="18.75" customHeight="1">
      <x:c r="A74" s="251" t="n">
        <x:v>47</x:v>
      </x:c>
      <x:c r="B74" s="216" t="str">
        <x:v>Sigdal Skap</x:v>
      </x:c>
      <x:c r="C74" s="244" t="str">
        <x:v>4307-B83G</x:v>
      </x:c>
      <x:c r="D74" s="218"/>
      <x:c r="E74" s="237" t="str">
        <x:v>Eggedal Cityscape (mørk)</x:v>
      </x:c>
      <x:c r="F74" s="220"/>
      <x:c r="G74" s="218"/>
      <x:c r="H74" s="218"/>
      <x:c r="I74" s="221"/>
      <x:c r="J74" s="222"/>
      <x:c r="K74" s="252"/>
    </x:row>
    <x:row r="75" ht="18.75" customHeight="1">
      <x:c r="A75" s="249" t="n">
        <x:v>49</x:v>
      </x:c>
      <x:c r="B75" s="207" t="str">
        <x:v>Sigdal Skap</x:v>
      </x:c>
      <x:c r="C75" s="243" t="str">
        <x:v>14V4010050028</x:v>
      </x:c>
      <x:c r="D75" s="209"/>
      <x:c r="E75" s="238" t="str">
        <x:v>Uno Palett</x:v>
      </x:c>
      <x:c r="F75" s="211"/>
      <x:c r="G75" s="209"/>
      <x:c r="H75" s="209"/>
      <x:c r="I75" s="212"/>
      <x:c r="J75" s="229"/>
      <x:c r="K75" s="255"/>
    </x:row>
    <x:row r="76" ht="18.75" customHeight="1">
      <x:c r="A76" s="251" t="n">
        <x:v>50</x:v>
      </x:c>
      <x:c r="B76" s="216" t="str">
        <x:v>Sigdal Skap</x:v>
      </x:c>
      <x:c r="C76" s="244" t="str">
        <x:v>14S4010050K1</x:v>
      </x:c>
      <x:c r="D76" s="218"/>
      <x:c r="E76" s="237" t="str">
        <x:v>Nøtt kant. hvitt skrog</x:v>
      </x:c>
      <x:c r="F76" s="220"/>
      <x:c r="G76" s="218"/>
      <x:c r="H76" s="218"/>
      <x:c r="I76" s="221"/>
      <x:c r="J76" s="222"/>
      <x:c r="K76" s="252"/>
    </x:row>
    <x:row r="77" ht="18.75" customHeight="1">
      <x:c r="A77" s="249" t="n">
        <x:v>51</x:v>
      </x:c>
      <x:c r="B77" s="207" t="str">
        <x:v>Sigdal Skap</x:v>
      </x:c>
      <x:c r="C77" s="233" t="str">
        <x:v>14344171</x:v>
      </x:c>
      <x:c r="D77" s="209"/>
      <x:c r="E77" s="238" t="str">
        <x:v>Hengsel 110gr m/demping</x:v>
      </x:c>
      <x:c r="F77" s="211"/>
      <x:c r="G77" s="209" t="n">
        <x:v>2</x:v>
      </x:c>
      <x:c r="H77" s="209"/>
      <x:c r="I77" s="212"/>
      <x:c r="J77" s="229"/>
      <x:c r="K77" s="255"/>
    </x:row>
    <x:row r="78" ht="18.75" customHeight="1">
      <x:c r="A78" s="251" t="n">
        <x:v>52</x:v>
      </x:c>
      <x:c r="B78" s="216" t="str">
        <x:v>Sigdal Skap</x:v>
      </x:c>
      <x:c r="C78" s="244" t="str">
        <x:v>4307-B83G</x:v>
      </x:c>
      <x:c r="D78" s="218"/>
      <x:c r="E78" s="237" t="str">
        <x:v>Eggedal Cityscape (mørk)</x:v>
      </x:c>
      <x:c r="F78" s="220"/>
      <x:c r="G78" s="218"/>
      <x:c r="H78" s="218"/>
      <x:c r="I78" s="221"/>
      <x:c r="J78" s="222"/>
      <x:c r="K78" s="252"/>
    </x:row>
    <x:row r="79" ht="22.5" customHeight="1">
      <x:c r="A79" s="249" t="n">
        <x:v>54</x:v>
      </x:c>
      <x:c r="B79" s="207" t="str">
        <x:v>Sigdal Skap</x:v>
      </x:c>
      <x:c r="C79" s="243" t="str">
        <x:v>14V5010060028</x:v>
      </x:c>
      <x:c r="D79" s="209"/>
      <x:c r="E79" s="238" t="str">
        <x:v>Uno Palett</x:v>
      </x:c>
      <x:c r="F79" s="211"/>
      <x:c r="G79" s="209"/>
      <x:c r="H79" s="209"/>
      <x:c r="I79" s="212"/>
      <x:c r="J79" s="229"/>
      <x:c r="K79" s="255"/>
    </x:row>
    <x:row r="80" ht="18.75" customHeight="1">
      <x:c r="A80" s="251" t="n">
        <x:v>55</x:v>
      </x:c>
      <x:c r="B80" s="216" t="str">
        <x:v>Sigdal Skap</x:v>
      </x:c>
      <x:c r="C80" s="244" t="str">
        <x:v>14S5010060K1</x:v>
      </x:c>
      <x:c r="D80" s="218"/>
      <x:c r="E80" s="237" t="str">
        <x:v>Nøtt kant. hvitt skrog</x:v>
      </x:c>
      <x:c r="F80" s="220"/>
      <x:c r="G80" s="218"/>
      <x:c r="H80" s="218"/>
      <x:c r="I80" s="221"/>
      <x:c r="J80" s="222"/>
      <x:c r="K80" s="252"/>
    </x:row>
    <x:row r="81" ht="18.75" customHeight="1">
      <x:c r="A81" s="249" t="n">
        <x:v>56</x:v>
      </x:c>
      <x:c r="B81" s="207" t="str">
        <x:v>Sigdal Skap</x:v>
      </x:c>
      <x:c r="C81" s="233" t="str">
        <x:v>14344171</x:v>
      </x:c>
      <x:c r="D81" s="209"/>
      <x:c r="E81" s="238" t="str">
        <x:v>Hengsel 110gr m/demping</x:v>
      </x:c>
      <x:c r="F81" s="211"/>
      <x:c r="G81" s="209" t="n">
        <x:v>2</x:v>
      </x:c>
      <x:c r="H81" s="209"/>
      <x:c r="I81" s="212"/>
      <x:c r="J81" s="229"/>
      <x:c r="K81" s="255"/>
    </x:row>
    <x:row r="82" ht="18.75" customHeight="1">
      <x:c r="A82" s="251" t="n">
        <x:v>57</x:v>
      </x:c>
      <x:c r="B82" s="216" t="str">
        <x:v>Sigdal Skap</x:v>
      </x:c>
      <x:c r="C82" s="244" t="str">
        <x:v>S2005-G70Y</x:v>
      </x:c>
      <x:c r="D82" s="218"/>
      <x:c r="E82" s="237" t="str">
        <x:v>Eggedal Pale Linden (lys)</x:v>
      </x:c>
      <x:c r="F82" s="220"/>
      <x:c r="G82" s="218"/>
      <x:c r="H82" s="218"/>
      <x:c r="I82" s="221"/>
      <x:c r="J82" s="222"/>
      <x:c r="K82" s="252"/>
    </x:row>
    <x:row r="83" ht="22.5" customHeight="1">
      <x:c r="A83" s="249" t="n">
        <x:v>59</x:v>
      </x:c>
      <x:c r="B83" s="207" t="str">
        <x:v>Sigdal Skap</x:v>
      </x:c>
      <x:c r="C83" s="243" t="str">
        <x:v>14V5010060028</x:v>
      </x:c>
      <x:c r="D83" s="209"/>
      <x:c r="E83" s="238" t="str">
        <x:v>Uno Palett</x:v>
      </x:c>
      <x:c r="F83" s="211"/>
      <x:c r="G83" s="209"/>
      <x:c r="H83" s="209"/>
      <x:c r="I83" s="212"/>
      <x:c r="J83" s="229"/>
      <x:c r="K83" s="255"/>
    </x:row>
    <x:row r="84" ht="18.75" customHeight="1">
      <x:c r="A84" s="251" t="n">
        <x:v>60</x:v>
      </x:c>
      <x:c r="B84" s="216" t="str">
        <x:v>Sigdal Skap</x:v>
      </x:c>
      <x:c r="C84" s="244" t="str">
        <x:v>14S5010060K1</x:v>
      </x:c>
      <x:c r="D84" s="218"/>
      <x:c r="E84" s="237" t="str">
        <x:v>Nøtt kant. hvitt skrog</x:v>
      </x:c>
      <x:c r="F84" s="220"/>
      <x:c r="G84" s="218"/>
      <x:c r="H84" s="218"/>
      <x:c r="I84" s="221"/>
      <x:c r="J84" s="222"/>
      <x:c r="K84" s="252"/>
    </x:row>
    <x:row r="85" ht="18.75" customHeight="1">
      <x:c r="A85" s="249" t="n">
        <x:v>61</x:v>
      </x:c>
      <x:c r="B85" s="207" t="str">
        <x:v>Sigdal Skap</x:v>
      </x:c>
      <x:c r="C85" s="233" t="str">
        <x:v>14344171</x:v>
      </x:c>
      <x:c r="D85" s="209"/>
      <x:c r="E85" s="238" t="str">
        <x:v>Hengsel 110gr m/demping</x:v>
      </x:c>
      <x:c r="F85" s="211"/>
      <x:c r="G85" s="209" t="n">
        <x:v>2</x:v>
      </x:c>
      <x:c r="H85" s="209"/>
      <x:c r="I85" s="212"/>
      <x:c r="J85" s="229"/>
      <x:c r="K85" s="255"/>
    </x:row>
    <x:row r="86" ht="18.75" customHeight="1">
      <x:c r="A86" s="251" t="n">
        <x:v>62</x:v>
      </x:c>
      <x:c r="B86" s="216" t="str">
        <x:v>Sigdal Skap</x:v>
      </x:c>
      <x:c r="C86" s="244" t="str">
        <x:v>S2005-G70Y</x:v>
      </x:c>
      <x:c r="D86" s="218"/>
      <x:c r="E86" s="237" t="str">
        <x:v>Eggedal Pale Linden (lys)</x:v>
      </x:c>
      <x:c r="F86" s="220"/>
      <x:c r="G86" s="218"/>
      <x:c r="H86" s="218"/>
      <x:c r="I86" s="221"/>
      <x:c r="J86" s="222"/>
      <x:c r="K86" s="252"/>
    </x:row>
    <x:row r="87" ht="22.5" customHeight="1">
      <x:c r="A87" s="249" t="n">
        <x:v>64</x:v>
      </x:c>
      <x:c r="B87" s="207" t="str">
        <x:v>Sigdal Skap</x:v>
      </x:c>
      <x:c r="C87" s="243" t="str">
        <x:v>14V5010060028</x:v>
      </x:c>
      <x:c r="D87" s="209"/>
      <x:c r="E87" s="238" t="str">
        <x:v>Uno Palett</x:v>
      </x:c>
      <x:c r="F87" s="211"/>
      <x:c r="G87" s="209"/>
      <x:c r="H87" s="209"/>
      <x:c r="I87" s="212"/>
      <x:c r="J87" s="229"/>
      <x:c r="K87" s="255"/>
    </x:row>
    <x:row r="88" ht="18.75" customHeight="1">
      <x:c r="A88" s="251" t="n">
        <x:v>65</x:v>
      </x:c>
      <x:c r="B88" s="216" t="str">
        <x:v>Sigdal Skap</x:v>
      </x:c>
      <x:c r="C88" s="244" t="str">
        <x:v>14S5010060K1</x:v>
      </x:c>
      <x:c r="D88" s="218"/>
      <x:c r="E88" s="237" t="str">
        <x:v>Nøtt kant. hvitt skrog</x:v>
      </x:c>
      <x:c r="F88" s="220"/>
      <x:c r="G88" s="218"/>
      <x:c r="H88" s="218"/>
      <x:c r="I88" s="221"/>
      <x:c r="J88" s="222"/>
      <x:c r="K88" s="252"/>
    </x:row>
    <x:row r="89" ht="18.75" customHeight="1">
      <x:c r="A89" s="249" t="n">
        <x:v>66</x:v>
      </x:c>
      <x:c r="B89" s="207" t="str">
        <x:v>Sigdal Skap</x:v>
      </x:c>
      <x:c r="C89" s="233" t="str">
        <x:v>14344171</x:v>
      </x:c>
      <x:c r="D89" s="209"/>
      <x:c r="E89" s="238" t="str">
        <x:v>Hengsel 110gr m/demping</x:v>
      </x:c>
      <x:c r="F89" s="211"/>
      <x:c r="G89" s="209" t="n">
        <x:v>2</x:v>
      </x:c>
      <x:c r="H89" s="209"/>
      <x:c r="I89" s="212"/>
      <x:c r="J89" s="229"/>
      <x:c r="K89" s="255"/>
    </x:row>
    <x:row r="90" ht="18.75" customHeight="1">
      <x:c r="A90" s="251" t="n">
        <x:v>67</x:v>
      </x:c>
      <x:c r="B90" s="216" t="str">
        <x:v>Sigdal Skap</x:v>
      </x:c>
      <x:c r="C90" s="244" t="str">
        <x:v>S2005-G70Y</x:v>
      </x:c>
      <x:c r="D90" s="218"/>
      <x:c r="E90" s="237" t="str">
        <x:v>Eggedal Pale Linden (lys)</x:v>
      </x:c>
      <x:c r="F90" s="220"/>
      <x:c r="G90" s="218"/>
      <x:c r="H90" s="218"/>
      <x:c r="I90" s="221"/>
      <x:c r="J90" s="222"/>
      <x:c r="K90" s="252"/>
    </x:row>
    <x:row r="91" ht="18.75" customHeight="1">
      <x:c r="A91" s="249" t="n">
        <x:v>69</x:v>
      </x:c>
      <x:c r="B91" s="207" t="str">
        <x:v>Sigdal Skap</x:v>
      </x:c>
      <x:c r="C91" s="243" t="str">
        <x:v>14V8116075028</x:v>
      </x:c>
      <x:c r="D91" s="209"/>
      <x:c r="E91" s="238" t="str">
        <x:v>Uno Palett</x:v>
      </x:c>
      <x:c r="F91" s="211"/>
      <x:c r="G91" s="209"/>
      <x:c r="H91" s="209"/>
      <x:c r="I91" s="212"/>
      <x:c r="J91" s="229"/>
      <x:c r="K91" s="255"/>
    </x:row>
    <x:row r="92" ht="18.75" customHeight="1">
      <x:c r="A92" s="251" t="n">
        <x:v>70</x:v>
      </x:c>
      <x:c r="B92" s="216" t="str">
        <x:v>Sigdal Skap</x:v>
      </x:c>
      <x:c r="C92" s="244" t="str">
        <x:v>14S8116075K1</x:v>
      </x:c>
      <x:c r="D92" s="218"/>
      <x:c r="E92" s="237" t="str">
        <x:v>Nøtt kant. hvitt skrog</x:v>
      </x:c>
      <x:c r="F92" s="220"/>
      <x:c r="G92" s="218"/>
      <x:c r="H92" s="218"/>
      <x:c r="I92" s="221"/>
      <x:c r="J92" s="222"/>
      <x:c r="K92" s="252"/>
    </x:row>
    <x:row r="93" ht="18.75" customHeight="1">
      <x:c r="A93" s="249" t="n">
        <x:v>71</x:v>
      </x:c>
      <x:c r="B93" s="207" t="str">
        <x:v>Sigdal Skap</x:v>
      </x:c>
      <x:c r="C93" s="243" t="str">
        <x:v>4307-B83G</x:v>
      </x:c>
      <x:c r="D93" s="209"/>
      <x:c r="E93" s="238" t="str">
        <x:v>Eggedal Cityscape (mørk)</x:v>
      </x:c>
      <x:c r="F93" s="211"/>
      <x:c r="G93" s="209"/>
      <x:c r="H93" s="209"/>
      <x:c r="I93" s="212"/>
      <x:c r="J93" s="229"/>
      <x:c r="K93" s="255"/>
    </x:row>
    <x:row r="94" ht="18.75" customHeight="1">
      <x:c r="A94" s="251" t="n">
        <x:v>78</x:v>
      </x:c>
      <x:c r="B94" s="216" t="str">
        <x:v>Sider</x:v>
      </x:c>
      <x:c r="C94" s="244" t="str">
        <x:v>14V3798040990</x:v>
      </x:c>
      <x:c r="D94" s="218"/>
      <x:c r="E94" s="237" t="str">
        <x:v>Palett</x:v>
      </x:c>
      <x:c r="F94" s="220"/>
      <x:c r="G94" s="218"/>
      <x:c r="H94" s="218"/>
      <x:c r="I94" s="221"/>
      <x:c r="J94" s="226"/>
      <x:c r="K94" s="256"/>
    </x:row>
    <x:row r="95" ht="24" customHeight="1">
      <x:c r="A95" s="249" t="n">
        <x:v>79</x:v>
      </x:c>
      <x:c r="B95" s="207" t="str">
        <x:v>Sider</x:v>
      </x:c>
      <x:c r="C95" s="243" t="str">
        <x:v>4307-B83G</x:v>
      </x:c>
      <x:c r="D95" s="209"/>
      <x:c r="E95" s="238" t="str">
        <x:v>Eggedal Cityscape (mørk)</x:v>
      </x:c>
      <x:c r="F95" s="211"/>
      <x:c r="G95" s="209"/>
      <x:c r="H95" s="209"/>
      <x:c r="I95" s="212"/>
      <x:c r="J95" s="213"/>
      <x:c r="K95" s="250"/>
    </x:row>
    <x:row r="96" ht="22.5" customHeight="1">
      <x:c r="A96" s="251" t="n">
        <x:v>81</x:v>
      </x:c>
      <x:c r="B96" s="216" t="str">
        <x:v>Sider</x:v>
      </x:c>
      <x:c r="C96" s="244" t="str">
        <x:v>14V3798070990</x:v>
      </x:c>
      <x:c r="D96" s="218"/>
      <x:c r="E96" s="237" t="str">
        <x:v>Palett</x:v>
      </x:c>
      <x:c r="F96" s="220"/>
      <x:c r="G96" s="218"/>
      <x:c r="H96" s="218"/>
      <x:c r="I96" s="221"/>
      <x:c r="J96" s="226"/>
      <x:c r="K96" s="256"/>
    </x:row>
    <x:row r="97" ht="24" customHeight="1">
      <x:c r="A97" s="249" t="n">
        <x:v>82</x:v>
      </x:c>
      <x:c r="B97" s="207" t="str">
        <x:v>Sider</x:v>
      </x:c>
      <x:c r="C97" s="243" t="str">
        <x:v>4307-B83G</x:v>
      </x:c>
      <x:c r="D97" s="209"/>
      <x:c r="E97" s="238" t="str">
        <x:v>Eggedal Cityscape (mørk)</x:v>
      </x:c>
      <x:c r="F97" s="211"/>
      <x:c r="G97" s="209"/>
      <x:c r="H97" s="209"/>
      <x:c r="I97" s="212"/>
      <x:c r="J97" s="213"/>
      <x:c r="K97" s="250"/>
    </x:row>
    <x:row r="98" ht="18.75" customHeight="1">
      <x:c r="A98" s="251" t="n">
        <x:v>84</x:v>
      </x:c>
      <x:c r="B98" s="216" t="str">
        <x:v>Sider</x:v>
      </x:c>
      <x:c r="C98" s="244" t="str">
        <x:v>14V3799050990</x:v>
      </x:c>
      <x:c r="D98" s="218"/>
      <x:c r="E98" s="237" t="str">
        <x:v>Palett</x:v>
      </x:c>
      <x:c r="F98" s="220"/>
      <x:c r="G98" s="218"/>
      <x:c r="H98" s="218"/>
      <x:c r="I98" s="221"/>
      <x:c r="J98" s="226"/>
      <x:c r="K98" s="256"/>
    </x:row>
    <x:row r="99" ht="24" customHeight="1">
      <x:c r="A99" s="249" t="n">
        <x:v>85</x:v>
      </x:c>
      <x:c r="B99" s="207" t="str">
        <x:v>Sider</x:v>
      </x:c>
      <x:c r="C99" s="243" t="str">
        <x:v>4307-B83G</x:v>
      </x:c>
      <x:c r="D99" s="209"/>
      <x:c r="E99" s="238" t="str">
        <x:v>Eggedal Cityscape (mørk)</x:v>
      </x:c>
      <x:c r="F99" s="211"/>
      <x:c r="G99" s="209"/>
      <x:c r="H99" s="209"/>
      <x:c r="I99" s="212"/>
      <x:c r="J99" s="213"/>
      <x:c r="K99" s="250"/>
    </x:row>
    <x:row r="100" ht="18.75" customHeight="1">
      <x:c r="A100" s="251" t="n">
        <x:v>89</x:v>
      </x:c>
      <x:c r="B100" s="216" t="str">
        <x:v>Foringer</x:v>
      </x:c>
      <x:c r="C100" s="244" t="str">
        <x:v>14V2430390990</x:v>
      </x:c>
      <x:c r="D100" s="218"/>
      <x:c r="E100" s="237" t="str">
        <x:v>Palett</x:v>
      </x:c>
      <x:c r="F100" s="220"/>
      <x:c r="G100" s="218"/>
      <x:c r="H100" s="218"/>
      <x:c r="I100" s="221"/>
      <x:c r="J100" s="226"/>
      <x:c r="K100" s="256"/>
    </x:row>
    <x:row r="101" ht="18.75" customHeight="1">
      <x:c r="A101" s="249" t="n">
        <x:v>90</x:v>
      </x:c>
      <x:c r="B101" s="207" t="str">
        <x:v>Foringer</x:v>
      </x:c>
      <x:c r="C101" s="243" t="str">
        <x:v>4307-B83G</x:v>
      </x:c>
      <x:c r="D101" s="209"/>
      <x:c r="E101" s="238" t="str">
        <x:v>Eggedal Cityscape (mørk)</x:v>
      </x:c>
      <x:c r="F101" s="211"/>
      <x:c r="G101" s="209"/>
      <x:c r="H101" s="209"/>
      <x:c r="I101" s="212"/>
      <x:c r="J101" s="213"/>
      <x:c r="K101" s="250"/>
    </x:row>
    <x:row r="102" ht="18.75" customHeight="1">
      <x:c r="A102" s="251" t="n">
        <x:v>94</x:v>
      </x:c>
      <x:c r="B102" s="216" t="str">
        <x:v>Lister</x:v>
      </x:c>
      <x:c r="C102" s="244" t="str">
        <x:v>14V2430390990</x:v>
      </x:c>
      <x:c r="D102" s="218"/>
      <x:c r="E102" s="237" t="str">
        <x:v>Palett</x:v>
      </x:c>
      <x:c r="F102" s="220"/>
      <x:c r="G102" s="218"/>
      <x:c r="H102" s="218"/>
      <x:c r="I102" s="221"/>
      <x:c r="J102" s="226"/>
      <x:c r="K102" s="256"/>
    </x:row>
    <x:row r="103" ht="18.75" customHeight="1">
      <x:c r="A103" s="249" t="n">
        <x:v>95</x:v>
      </x:c>
      <x:c r="B103" s="207" t="str">
        <x:v>Lister</x:v>
      </x:c>
      <x:c r="C103" s="243" t="str">
        <x:v>4307-B83G</x:v>
      </x:c>
      <x:c r="D103" s="209"/>
      <x:c r="E103" s="238" t="str">
        <x:v>Eggedal Cityscape (mørk)</x:v>
      </x:c>
      <x:c r="F103" s="211"/>
      <x:c r="G103" s="209"/>
      <x:c r="H103" s="209"/>
      <x:c r="I103" s="212"/>
      <x:c r="J103" s="213"/>
      <x:c r="K103" s="250"/>
    </x:row>
    <x:row r="104" ht="18.75" customHeight="1">
      <x:c r="A104" s="251" t="n">
        <x:v>97</x:v>
      </x:c>
      <x:c r="B104" s="216" t="str">
        <x:v>Lister</x:v>
      </x:c>
      <x:c r="C104" s="244" t="str">
        <x:v>14V2430390990</x:v>
      </x:c>
      <x:c r="D104" s="218"/>
      <x:c r="E104" s="237" t="str">
        <x:v>Palett</x:v>
      </x:c>
      <x:c r="F104" s="220"/>
      <x:c r="G104" s="218"/>
      <x:c r="H104" s="218"/>
      <x:c r="I104" s="221"/>
      <x:c r="J104" s="226"/>
      <x:c r="K104" s="256"/>
    </x:row>
    <x:row r="105" ht="22.5" customHeight="1">
      <x:c r="A105" s="249" t="n">
        <x:v>98</x:v>
      </x:c>
      <x:c r="B105" s="207" t="str">
        <x:v>Lister</x:v>
      </x:c>
      <x:c r="C105" s="243" t="str">
        <x:v>S2005-G70Y</x:v>
      </x:c>
      <x:c r="D105" s="209"/>
      <x:c r="E105" s="238" t="str">
        <x:v>Eggedal Pale Linden (lys)</x:v>
      </x:c>
      <x:c r="F105" s="211"/>
      <x:c r="G105" s="209"/>
      <x:c r="H105" s="209"/>
      <x:c r="I105" s="212"/>
      <x:c r="J105" s="213"/>
      <x:c r="K105" s="250"/>
    </x:row>
    <x:row r="106" ht="18.75" customHeight="1">
      <x:c r="A106" s="251" t="n">
        <x:v>103</x:v>
      </x:c>
      <x:c r="B106" s="216" t="str">
        <x:v>Sokler</x:v>
      </x:c>
      <x:c r="C106" s="244" t="str">
        <x:v>14V2511210990</x:v>
      </x:c>
      <x:c r="D106" s="218"/>
      <x:c r="E106" s="237" t="str">
        <x:v>Palett</x:v>
      </x:c>
      <x:c r="F106" s="220"/>
      <x:c r="G106" s="218"/>
      <x:c r="H106" s="218"/>
      <x:c r="I106" s="221"/>
      <x:c r="J106" s="226"/>
      <x:c r="K106" s="256"/>
    </x:row>
    <x:row r="107" ht="24" customHeight="1">
      <x:c r="A107" s="249" t="n">
        <x:v>104</x:v>
      </x:c>
      <x:c r="B107" s="207" t="str">
        <x:v>Sokler</x:v>
      </x:c>
      <x:c r="C107" s="243" t="str">
        <x:v>4307-B83G</x:v>
      </x:c>
      <x:c r="D107" s="209"/>
      <x:c r="E107" s="238" t="str">
        <x:v>Eggedal Cityscape (mørk)</x:v>
      </x:c>
      <x:c r="F107" s="211"/>
      <x:c r="G107" s="209"/>
      <x:c r="H107" s="209"/>
      <x:c r="I107" s="212"/>
      <x:c r="J107" s="213"/>
      <x:c r="K107" s="250"/>
    </x:row>
    <x:row r="108" ht="22.5" customHeight="1">
      <x:c r="A108" s="251" t="n">
        <x:v>106</x:v>
      </x:c>
      <x:c r="B108" s="216" t="str">
        <x:v>Sokler</x:v>
      </x:c>
      <x:c r="C108" s="244" t="str">
        <x:v>14V2511200990</x:v>
      </x:c>
      <x:c r="D108" s="218"/>
      <x:c r="E108" s="237" t="str">
        <x:v>Palett</x:v>
      </x:c>
      <x:c r="F108" s="220"/>
      <x:c r="G108" s="218"/>
      <x:c r="H108" s="218"/>
      <x:c r="I108" s="221"/>
      <x:c r="J108" s="226"/>
      <x:c r="K108" s="256"/>
    </x:row>
    <x:row r="109" ht="24" customHeight="1">
      <x:c r="A109" s="249" t="n">
        <x:v>107</x:v>
      </x:c>
      <x:c r="B109" s="207" t="str">
        <x:v>Sokler</x:v>
      </x:c>
      <x:c r="C109" s="243" t="str">
        <x:v>4307-B83G</x:v>
      </x:c>
      <x:c r="D109" s="209"/>
      <x:c r="E109" s="238" t="str">
        <x:v>Eggedal Cityscape (mørk)</x:v>
      </x:c>
      <x:c r="F109" s="211"/>
      <x:c r="G109" s="209"/>
      <x:c r="H109" s="209"/>
      <x:c r="I109" s="212"/>
      <x:c r="J109" s="213"/>
      <x:c r="K109" s="250"/>
    </x:row>
    <x:row r="110" ht="24" customHeight="1">
      <x:c r="A110" s="251" t="n">
        <x:v>120</x:v>
      </x:c>
      <x:c r="B110" s="216" t="str">
        <x:v>Sigdal Skap</x:v>
      </x:c>
      <x:c r="C110" s="244" t="str">
        <x:v>14V159466028</x:v>
      </x:c>
      <x:c r="D110" s="218"/>
      <x:c r="E110" s="237" t="str">
        <x:v>Uno Palett</x:v>
      </x:c>
      <x:c r="F110" s="220"/>
      <x:c r="G110" s="218"/>
      <x:c r="H110" s="218"/>
      <x:c r="I110" s="221"/>
      <x:c r="J110" s="226"/>
      <x:c r="K110" s="256"/>
    </x:row>
    <x:row r="111" ht="18.75" customHeight="1">
      <x:c r="A111" s="249" t="n">
        <x:v>121</x:v>
      </x:c>
      <x:c r="B111" s="207" t="str">
        <x:v>Sigdal Skap</x:v>
      </x:c>
      <x:c r="C111" s="243" t="str">
        <x:v>4307-B83G</x:v>
      </x:c>
      <x:c r="D111" s="209"/>
      <x:c r="E111" s="238" t="str">
        <x:v>Eggedal Cityscape (mørk)</x:v>
      </x:c>
      <x:c r="F111" s="211"/>
      <x:c r="G111" s="209"/>
      <x:c r="H111" s="209"/>
      <x:c r="I111" s="212"/>
      <x:c r="J111" s="229"/>
      <x:c r="K111" s="255"/>
    </x:row>
    <x:row r="112" ht="18.75" customHeight="1">
      <x:c r="A112" s="251" t="n">
        <x:v>126</x:v>
      </x:c>
      <x:c r="B112" s="216" t="str">
        <x:v>Baldakin</x:v>
      </x:c>
      <x:c r="C112" s="244" t="str">
        <x:v>14V4211930990</x:v>
      </x:c>
      <x:c r="D112" s="218"/>
      <x:c r="E112" s="237" t="str">
        <x:v>Palett</x:v>
      </x:c>
      <x:c r="F112" s="220"/>
      <x:c r="G112" s="218"/>
      <x:c r="H112" s="218"/>
      <x:c r="I112" s="221"/>
      <x:c r="J112" s="226"/>
      <x:c r="K112" s="256"/>
    </x:row>
    <x:row r="113" ht="18.75" customHeight="1">
      <x:c r="A113" s="249" t="n">
        <x:v>127</x:v>
      </x:c>
      <x:c r="B113" s="207" t="str">
        <x:v>Baldakin</x:v>
      </x:c>
      <x:c r="C113" s="243" t="str">
        <x:v>4307-B83G</x:v>
      </x:c>
      <x:c r="D113" s="209"/>
      <x:c r="E113" s="238" t="str">
        <x:v>Eggedal Cityscape (mørk)</x:v>
      </x:c>
      <x:c r="F113" s="211"/>
      <x:c r="G113" s="209"/>
      <x:c r="H113" s="209"/>
      <x:c r="I113" s="212"/>
      <x:c r="J113" s="213"/>
      <x:c r="K113" s="250"/>
    </x:row>
    <x:row r="114" ht="24" customHeight="1">
      <x:c r="A114" s="251" t="n">
        <x:v>131</x:v>
      </x:c>
      <x:c r="B114" s="216" t="str">
        <x:v>Tilbehør</x:v>
      </x:c>
      <x:c r="C114" s="244" t="str">
        <x:v>14NCV0990</x:v>
      </x:c>
      <x:c r="D114" s="218"/>
      <x:c r="E114" s="237" t="str">
        <x:v>Flekklakk valgfri NCS 0990</x:v>
      </x:c>
      <x:c r="F114" s="220"/>
      <x:c r="G114" s="218"/>
      <x:c r="H114" s="218"/>
      <x:c r="I114" s="221"/>
      <x:c r="J114" s="226"/>
      <x:c r="K114" s="256"/>
    </x:row>
    <x:row r="115" ht="22.5" customHeight="1">
      <x:c r="A115" s="249" t="n">
        <x:v>132</x:v>
      </x:c>
      <x:c r="B115" s="207" t="str">
        <x:v>Tilbehør</x:v>
      </x:c>
      <x:c r="C115" s="243" t="str">
        <x:v>4307-B83G</x:v>
      </x:c>
      <x:c r="D115" s="209"/>
      <x:c r="E115" s="238" t="str">
        <x:v>Eggedal Cityscape (mørk)</x:v>
      </x:c>
      <x:c r="F115" s="211"/>
      <x:c r="G115" s="209"/>
      <x:c r="H115" s="209"/>
      <x:c r="I115" s="212"/>
      <x:c r="J115" s="213"/>
      <x:c r="K115" s="250"/>
    </x:row>
    <x:row r="116" ht="24" customHeight="1">
      <x:c r="A116" s="251" t="n">
        <x:v>134</x:v>
      </x:c>
      <x:c r="B116" s="216" t="str">
        <x:v>Tilbehør</x:v>
      </x:c>
      <x:c r="C116" s="244" t="str">
        <x:v>14NCV0990</x:v>
      </x:c>
      <x:c r="D116" s="218"/>
      <x:c r="E116" s="237" t="str">
        <x:v>Flekklakk valgfri NCS 0990</x:v>
      </x:c>
      <x:c r="F116" s="220"/>
      <x:c r="G116" s="218"/>
      <x:c r="H116" s="218"/>
      <x:c r="I116" s="221"/>
      <x:c r="J116" s="226"/>
      <x:c r="K116" s="256"/>
    </x:row>
    <x:row r="117" ht="18.75" customHeight="1">
      <x:c r="A117" s="249" t="n">
        <x:v>135</x:v>
      </x:c>
      <x:c r="B117" s="207" t="str">
        <x:v>Tilbehør</x:v>
      </x:c>
      <x:c r="C117" s="243" t="str">
        <x:v>S2005-G70Y</x:v>
      </x:c>
      <x:c r="D117" s="209"/>
      <x:c r="E117" s="238" t="str">
        <x:v>Eggedal Pale Linden (lys)</x:v>
      </x:c>
      <x:c r="F117" s="211"/>
      <x:c r="G117" s="209"/>
      <x:c r="H117" s="209"/>
      <x:c r="I117" s="212"/>
      <x:c r="J117" s="213"/>
      <x:c r="K117" s="250"/>
    </x:row>
    <x:row r="118" ht="18.75" customHeight="1">
      <x:c r="A118" s="251" t="n">
        <x:v>139</x:v>
      </x:c>
      <x:c r="B118" s="216" t="str">
        <x:v>Fra plukkliste</x:v>
      </x:c>
      <x:c r="C118" s="244" t="str">
        <x:v>14V150469028</x:v>
      </x:c>
      <x:c r="D118" s="218"/>
      <x:c r="E118" s="237" t="str">
        <x:v>Uno Palett</x:v>
      </x:c>
      <x:c r="F118" s="220"/>
      <x:c r="G118" s="218"/>
      <x:c r="H118" s="218"/>
      <x:c r="I118" s="221"/>
      <x:c r="J118" s="226"/>
      <x:c r="K118" s="256"/>
    </x:row>
    <x:row r="119" ht="18.75" customHeight="1">
      <x:c r="A119" s="249" t="n">
        <x:v>140</x:v>
      </x:c>
      <x:c r="B119" s="207" t="str">
        <x:v>Fra plukkliste</x:v>
      </x:c>
      <x:c r="C119" s="243" t="str">
        <x:v>4307-B83G</x:v>
      </x:c>
      <x:c r="D119" s="209"/>
      <x:c r="E119" s="238" t="str">
        <x:v>Eggedal Cityscape (mørk)</x:v>
      </x:c>
      <x:c r="F119" s="211"/>
      <x:c r="G119" s="209"/>
      <x:c r="H119" s="209"/>
      <x:c r="I119" s="212"/>
      <x:c r="J119" s="213"/>
      <x:c r="K119" s="250"/>
    </x:row>
    <x:row r="120" ht="18.75" customHeight="1">
      <x:c r="A120" s="251" t="n">
        <x:v>142</x:v>
      </x:c>
      <x:c r="B120" s="216" t="str">
        <x:v>Fra plukkliste</x:v>
      </x:c>
      <x:c r="C120" s="244" t="str">
        <x:v>14V150449028</x:v>
      </x:c>
      <x:c r="D120" s="218"/>
      <x:c r="E120" s="237" t="str">
        <x:v>Uno Palett</x:v>
      </x:c>
      <x:c r="F120" s="220"/>
      <x:c r="G120" s="218"/>
      <x:c r="H120" s="218"/>
      <x:c r="I120" s="221"/>
      <x:c r="J120" s="226"/>
      <x:c r="K120" s="256"/>
    </x:row>
    <x:row r="121" ht="18.75" customHeight="1">
      <x:c r="A121" s="249" t="n">
        <x:v>143</x:v>
      </x:c>
      <x:c r="B121" s="207" t="str">
        <x:v>Fra plukkliste</x:v>
      </x:c>
      <x:c r="C121" s="243" t="str">
        <x:v>S2005-G70Y</x:v>
      </x:c>
      <x:c r="D121" s="209"/>
      <x:c r="E121" s="238" t="str">
        <x:v>Eggedal Pale Linden (lys)</x:v>
      </x:c>
      <x:c r="F121" s="211"/>
      <x:c r="G121" s="209"/>
      <x:c r="H121" s="209"/>
      <x:c r="I121" s="212"/>
      <x:c r="J121" s="213"/>
      <x:c r="K121" s="250"/>
    </x:row>
    <x:row r="122" ht="24" customHeight="1">
      <x:c r="A122" s="251" t="n">
        <x:v>145</x:v>
      </x:c>
      <x:c r="B122" s="216" t="str">
        <x:v>Fra plukkliste</x:v>
      </x:c>
      <x:c r="C122" s="244" t="str">
        <x:v>14V164937028</x:v>
      </x:c>
      <x:c r="D122" s="218"/>
      <x:c r="E122" s="237" t="str">
        <x:v>Uno Palett</x:v>
      </x:c>
      <x:c r="F122" s="220"/>
      <x:c r="G122" s="218"/>
      <x:c r="H122" s="218"/>
      <x:c r="I122" s="221"/>
      <x:c r="J122" s="226"/>
      <x:c r="K122" s="256"/>
    </x:row>
    <x:row r="123" ht="18.75" customHeight="1">
      <x:c r="A123" s="249" t="n">
        <x:v>146</x:v>
      </x:c>
      <x:c r="B123" s="207" t="str">
        <x:v>Fra plukkliste</x:v>
      </x:c>
      <x:c r="C123" s="243" t="str">
        <x:v>4307-B83G</x:v>
      </x:c>
      <x:c r="D123" s="209"/>
      <x:c r="E123" s="238" t="str">
        <x:v>Eggedal Cityscape (mørk)</x:v>
      </x:c>
      <x:c r="F123" s="211"/>
      <x:c r="G123" s="209"/>
      <x:c r="H123" s="209"/>
      <x:c r="I123" s="212"/>
      <x:c r="J123" s="213"/>
      <x:c r="K123" s="250"/>
    </x:row>
    <x:row r="124" ht="22.5" customHeight="1">
      <x:c r="A124" s="251" t="n">
        <x:v>148</x:v>
      </x:c>
      <x:c r="B124" s="216" t="str">
        <x:v>Fra plukkliste</x:v>
      </x:c>
      <x:c r="C124" s="244" t="str">
        <x:v>14V161273028</x:v>
      </x:c>
      <x:c r="D124" s="218"/>
      <x:c r="E124" s="237" t="str">
        <x:v>Uno Palett</x:v>
      </x:c>
      <x:c r="F124" s="220"/>
      <x:c r="G124" s="218"/>
      <x:c r="H124" s="218"/>
      <x:c r="I124" s="221"/>
      <x:c r="J124" s="226"/>
      <x:c r="K124" s="256"/>
    </x:row>
    <x:row r="125" ht="18.75" customHeight="1">
      <x:c r="A125" s="249" t="n">
        <x:v>149</x:v>
      </x:c>
      <x:c r="B125" s="207" t="str">
        <x:v>Fra plukkliste</x:v>
      </x:c>
      <x:c r="C125" s="243" t="str">
        <x:v>4307-B83G</x:v>
      </x:c>
      <x:c r="D125" s="209"/>
      <x:c r="E125" s="238" t="str">
        <x:v>Eggedal Cityscape (mørk)</x:v>
      </x:c>
      <x:c r="F125" s="211"/>
      <x:c r="G125" s="209"/>
      <x:c r="H125" s="209"/>
      <x:c r="I125" s="212"/>
      <x:c r="J125" s="213"/>
      <x:c r="K125" s="250"/>
    </x:row>
    <x:row r="126" ht="18.75" customHeight="1">
      <x:c r="A126" s="251" t="n">
        <x:v>151</x:v>
      </x:c>
      <x:c r="B126" s="216" t="str">
        <x:v>Fra plukkliste</x:v>
      </x:c>
      <x:c r="C126" s="244" t="str">
        <x:v>14V161292028</x:v>
      </x:c>
      <x:c r="D126" s="218"/>
      <x:c r="E126" s="237" t="str">
        <x:v>Uno Palett</x:v>
      </x:c>
      <x:c r="F126" s="220"/>
      <x:c r="G126" s="218"/>
      <x:c r="H126" s="218"/>
      <x:c r="I126" s="221"/>
      <x:c r="J126" s="226"/>
      <x:c r="K126" s="256"/>
    </x:row>
    <x:row r="127" ht="18.75" customHeight="1">
      <x:c r="A127" s="261" t="n">
        <x:v>152</x:v>
      </x:c>
      <x:c r="B127" s="262" t="str">
        <x:v>Fra plukkliste</x:v>
      </x:c>
      <x:c r="C127" s="263" t="str">
        <x:v>4307-B83G</x:v>
      </x:c>
      <x:c r="D127" s="264"/>
      <x:c r="E127" s="265" t="str">
        <x:v>Eggedal Cityscape (mørk)</x:v>
      </x:c>
      <x:c r="F127" s="266"/>
      <x:c r="G127" s="264"/>
      <x:c r="H127" s="264"/>
      <x:c r="I127" s="267"/>
      <x:c r="J127" s="268"/>
      <x:c r="K127" s="269"/>
    </x:row>
  </x:sheetData>
  <x:pageMargins left="0.7" right="0.7" top="0.75" bottom="0.75" header="0.3" footer="0.3"/>
  <x:tableParts count="1">
    <x:tablePart xmlns:r="http://schemas.openxmlformats.org/officeDocument/2006/relationships" r:id="R4df2224167fe4ace"/>
  </x:tableParts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2" max="2" width="27.8799991607666" hidden="0" customWidth="1"/>
    <x:col min="3" max="3" width="15.25" hidden="0" customWidth="1"/>
    <x:col min="4" max="4" width="35.25" hidden="0" customWidth="1"/>
  </x:cols>
  <x:sheetData>
    <x:row r="1" ht="15" customHeight="1">
      <x:c r="A1" s="157"/>
      <x:c r="B1" s="157"/>
      <x:c r="C1" s="157"/>
      <x:c r="D1" s="157"/>
    </x:row>
    <x:row r="2" ht="15" customHeight="1">
      <x:c r="A2" s="157"/>
      <x:c r="B2" s="275" t="str">
        <x:v>Oversikt per kategori</x:v>
      </x:c>
      <x:c r="C2" s="275" t="str">
        <x:v>Tredje tilbud</x:v>
      </x:c>
      <x:c r="D2" s="275" t="str">
        <x:v>Pris etter kutt</x:v>
      </x:c>
    </x:row>
    <x:row r="3" ht="15" customHeight="1">
      <x:c r="A3" s="157"/>
      <x:c r="B3" s="201" t="str">
        <x:v>Baldakin</x:v>
      </x:c>
      <x:c r="C3" s="180" t="n">
        <x:f>SUMIF('Tilbud - arbeidsark'!$B$15:$B$127,B3,'Tilbud - arbeidsark'!$I$15:$I$127)</x:f>
        <x:v>1211.28</x:v>
      </x:c>
      <x:c r="D3" s="180" t="n">
        <x:f>SUMIF('Tilbud - arbeidsark'!$B$15:$B$127,B3,'Tilbud - arbeidsark'!$K$15:$K$127)</x:f>
        <x:v>1211.28</x:v>
      </x:c>
    </x:row>
    <x:row r="4" ht="15" customHeight="1">
      <x:c r="A4" s="157"/>
      <x:c r="B4" s="201" t="str">
        <x:v>Beslag og Design - Håndtak</x:v>
      </x:c>
      <x:c r="C4" s="180" t="n">
        <x:f>SUMIF('Tilbud - arbeidsark'!$B$15:$B$127,B4,'Tilbud - arbeidsark'!$I$15:$I$127)</x:f>
        <x:v>4698</x:v>
      </x:c>
      <x:c r="D4" s="180" t="n">
        <x:f>SUMIF('Tilbud - arbeidsark'!$B$15:$B$127,B4,'Tilbud - arbeidsark'!$K$15:$K$127)</x:f>
        <x:v>4698</x:v>
      </x:c>
    </x:row>
    <x:row r="5" ht="15" customHeight="1">
      <x:c r="A5" s="157"/>
      <x:c r="B5" s="201" t="str">
        <x:v>Blanco - Vask og Blandebatteri</x:v>
      </x:c>
      <x:c r="C5" s="180" t="n">
        <x:f>SUMIF('Tilbud - arbeidsark'!$B$15:$B$127,B5,'Tilbud - arbeidsark'!$I$15:$I$127)</x:f>
        <x:v>16522.559999999998</x:v>
      </x:c>
      <x:c r="D5" s="180" t="n">
        <x:f>SUMIF('Tilbud - arbeidsark'!$B$15:$B$127,B5,'Tilbud - arbeidsark'!$K$15:$K$127)</x:f>
        <x:v>16522.559999999998</x:v>
      </x:c>
    </x:row>
    <x:row r="6" ht="15" customHeight="1">
      <x:c r="A6" s="157"/>
      <x:c r="B6" s="201" t="str">
        <x:v>Distanse</x:v>
      </x:c>
      <x:c r="C6" s="180" t="n">
        <x:f>SUMIF('Tilbud - arbeidsark'!$B$15:$B$127,B6,'Tilbud - arbeidsark'!$I$15:$I$127)</x:f>
        <x:v>1956.96</x:v>
      </x:c>
      <x:c r="D6" s="180" t="n">
        <x:f>SUMIF('Tilbud - arbeidsark'!$B$15:$B$127,B6,'Tilbud - arbeidsark'!$K$15:$K$127)</x:f>
        <x:v>1956.96</x:v>
      </x:c>
    </x:row>
    <x:row r="7" ht="15" customHeight="1">
      <x:c r="A7" s="157"/>
      <x:c r="B7" s="201" t="str">
        <x:v>Foringer</x:v>
      </x:c>
      <x:c r="C7" s="180" t="n">
        <x:f>SUMIF('Tilbud - arbeidsark'!$B$15:$B$127,B7,'Tilbud - arbeidsark'!$I$15:$I$127)</x:f>
        <x:v>683.4</x:v>
      </x:c>
      <x:c r="D7" s="180" t="n">
        <x:f>SUMIF('Tilbud - arbeidsark'!$B$15:$B$127,B7,'Tilbud - arbeidsark'!$K$15:$K$127)</x:f>
        <x:v>683.4</x:v>
      </x:c>
    </x:row>
    <x:row r="8" ht="15" customHeight="1">
      <x:c r="A8" s="157"/>
      <x:c r="B8" s="201" t="str">
        <x:v>Fra plukkliste</x:v>
      </x:c>
      <x:c r="C8" s="180" t="n">
        <x:f>SUMIF('Tilbud - arbeidsark'!$B$15:$B$127,B8,'Tilbud - arbeidsark'!$I$15:$I$127)</x:f>
        <x:v>12940.890000000001</x:v>
      </x:c>
      <x:c r="D8" s="180" t="n">
        <x:f>SUMIF('Tilbud - arbeidsark'!$B$15:$B$127,B8,'Tilbud - arbeidsark'!$K$15:$K$127)</x:f>
        <x:v>12940.890000000001</x:v>
      </x:c>
    </x:row>
    <x:row r="9" ht="15" customHeight="1">
      <x:c r="A9" s="157"/>
      <x:c r="B9" s="201" t="str">
        <x:v>Lister</x:v>
      </x:c>
      <x:c r="C9" s="180" t="n">
        <x:f>SUMIF('Tilbud - arbeidsark'!$B$15:$B$127,B9,'Tilbud - arbeidsark'!$I$15:$I$127)</x:f>
        <x:v>2050.19</x:v>
      </x:c>
      <x:c r="D9" s="180" t="n">
        <x:f>SUMIF('Tilbud - arbeidsark'!$B$15:$B$127,B9,'Tilbud - arbeidsark'!$K$15:$K$127)</x:f>
        <x:v>2050.19</x:v>
      </x:c>
    </x:row>
    <x:row r="10" ht="15" customHeight="1">
      <x:c r="A10" s="157"/>
      <x:c r="B10" s="201" t="str">
        <x:v>Sider</x:v>
      </x:c>
      <x:c r="C10" s="180" t="n">
        <x:f>SUMIF('Tilbud - arbeidsark'!$B$15:$B$127,B10,'Tilbud - arbeidsark'!$I$15:$I$127)</x:f>
        <x:v>4711.6</x:v>
      </x:c>
      <x:c r="D10" s="180" t="n">
        <x:f>SUMIF('Tilbud - arbeidsark'!$B$15:$B$127,B10,'Tilbud - arbeidsark'!$K$15:$K$127)</x:f>
        <x:v>4711.6</x:v>
      </x:c>
    </x:row>
    <x:row r="11" ht="15" customHeight="1">
      <x:c r="A11" s="157"/>
      <x:c r="B11" s="201" t="str">
        <x:v>Sigdal Skap</x:v>
      </x:c>
      <x:c r="C11" s="180" t="n">
        <x:f>SUMIF('Tilbud - arbeidsark'!$B$15:$B$127,B11,'Tilbud - arbeidsark'!$I$15:$I$127)</x:f>
        <x:v>48797.22</x:v>
      </x:c>
      <x:c r="D11" s="180" t="n">
        <x:f>SUMIF('Tilbud - arbeidsark'!$B$15:$B$127,B11,'Tilbud - arbeidsark'!$K$15:$K$127)</x:f>
        <x:v>48797.22</x:v>
      </x:c>
    </x:row>
    <x:row r="12" ht="15" customHeight="1">
      <x:c r="A12" s="157"/>
      <x:c r="B12" s="201" t="str">
        <x:v>Sigvartsen - Benkeplate</x:v>
      </x:c>
      <x:c r="C12" s="180" t="n">
        <x:f>SUMIF('Tilbud - arbeidsark'!$B$15:$B$127,B12,'Tilbud - arbeidsark'!$I$15:$I$127)</x:f>
        <x:v>44000</x:v>
      </x:c>
      <x:c r="D12" s="180" t="n">
        <x:f>SUMIF('Tilbud - arbeidsark'!$B$15:$B$127,B12,'Tilbud - arbeidsark'!$K$15:$K$127)</x:f>
        <x:v>44000</x:v>
      </x:c>
    </x:row>
    <x:row r="13" ht="15" customHeight="1">
      <x:c r="A13" s="157"/>
      <x:c r="B13" s="201" t="str">
        <x:v>Sokler</x:v>
      </x:c>
      <x:c r="C13" s="180" t="n">
        <x:f>SUMIF('Tilbud - arbeidsark'!$B$15:$B$127,B13,'Tilbud - arbeidsark'!$I$15:$I$127)</x:f>
        <x:v>4990.41</x:v>
      </x:c>
      <x:c r="D13" s="180" t="n">
        <x:f>SUMIF('Tilbud - arbeidsark'!$B$15:$B$127,B13,'Tilbud - arbeidsark'!$K$15:$K$127)</x:f>
        <x:v>4990.41</x:v>
      </x:c>
    </x:row>
    <x:row r="14" ht="15" customHeight="1">
      <x:c r="A14" s="157"/>
      <x:c r="B14" s="201" t="str">
        <x:v>Tilbehør</x:v>
      </x:c>
      <x:c r="C14" s="180" t="n">
        <x:f>SUMIF('Tilbud - arbeidsark'!$B$15:$B$127,B14,'Tilbud - arbeidsark'!$I$15:$I$127)</x:f>
        <x:v>396.74</x:v>
      </x:c>
      <x:c r="D14" s="180" t="n">
        <x:f>SUMIF('Tilbud - arbeidsark'!$B$15:$B$127,B14,'Tilbud - arbeidsark'!$K$15:$K$127)</x:f>
        <x:v>396.74</x:v>
      </x:c>
    </x:row>
    <x:row r="15" ht="15" customHeight="1">
      <x:c r="A15" s="157"/>
      <x:c r="B15" s="157"/>
      <x:c r="C15" s="157"/>
      <x:c r="D15" s="157"/>
    </x:row>
    <x:row r="16" ht="15" customHeight="1">
      <x:c r="A16" s="157"/>
      <x:c r="B16" s="276" t="str">
        <x:v>SUM</x:v>
      </x:c>
      <x:c r="C16" s="278" t="n">
        <x:f>SUM(C3:C14)</x:f>
        <x:v>142959.25</x:v>
      </x:c>
      <x:c r="D16" s="278" t="n">
        <x:f>SUM(D3:D14)</x:f>
        <x:v>142959.25</x:v>
      </x:c>
    </x:row>
    <x:row r="17" ht="15" customHeight="1">
      <x:c r="A17" s="157"/>
      <x:c r="B17" s="157" t="str">
        <x:v>Ørejustering i tilbud</x:v>
      </x:c>
      <x:c r="C17" s="277" t="n">
        <x:f>'Oversikt'!B34</x:f>
        <x:v>-0.02</x:v>
      </x:c>
      <x:c r="D17" s="277" t="n">
        <x:f>IF(D16=C16,C17,0)</x:f>
        <x:v>-0.02</x:v>
      </x:c>
    </x:row>
    <x:row r="18" ht="15" customHeight="1">
      <x:c r="A18" s="157"/>
      <x:c r="B18" s="157" t="str">
        <x:v>Frakt</x:v>
      </x:c>
      <x:c r="C18" s="277" t="n">
        <x:f>ROUND(SUM(C16:C17)*'Oversikt'!$B$40,2)</x:f>
        <x:v>11436.74</x:v>
      </x:c>
      <x:c r="D18" s="277" t="n">
        <x:f>ROUND(SUM(D16:D17)*'Oversikt'!$B$40,2)</x:f>
        <x:v>11436.74</x:v>
      </x:c>
    </x:row>
    <x:row r="19" ht="15" customHeight="1">
      <x:c r="A19" s="157"/>
      <x:c r="B19" s="157" t="str">
        <x:v>Bæring</x:v>
      </x:c>
      <x:c r="C19" s="157" t="n">
        <x:f>'Oversikt'!C25</x:f>
        <x:v>4500</x:v>
      </x:c>
      <x:c r="D19" s="157" t="n">
        <x:f>C19</x:f>
        <x:v>4500</x:v>
      </x:c>
    </x:row>
    <x:row r="20" ht="15" customHeight="1">
      <x:c r="A20" s="157"/>
      <x:c r="B20" s="279" t="str">
        <x:v>Montering</x:v>
      </x:c>
      <x:c r="C20" s="279" t="n">
        <x:f>'Oversikt'!C26</x:f>
        <x:v>30000</x:v>
      </x:c>
      <x:c r="D20" s="279" t="n">
        <x:f>C20</x:f>
        <x:v>30000</x:v>
      </x:c>
    </x:row>
    <x:row r="21" ht="15" customHeight="1">
      <x:c r="A21" s="157"/>
      <x:c r="B21" s="157" t="str">
        <x:v>Avrunding i tilbud</x:v>
      </x:c>
      <x:c r="C21" s="277" t="n">
        <x:f>'Oversikt'!C27</x:f>
        <x:v>-5.97</x:v>
      </x:c>
      <x:c r="D21" s="277" t="n">
        <x:f>IF(D16=C16,C21,0)</x:f>
        <x:v>-5.97</x:v>
      </x:c>
    </x:row>
    <x:row r="22" ht="15" customHeight="1">
      <x:c r="A22" s="157"/>
      <x:c r="B22" s="157" t="str">
        <x:v>Sum eks mva.</x:v>
      </x:c>
      <x:c r="C22" s="277" t="n">
        <x:f>ROUND(SUM(C16:C21),2)</x:f>
        <x:v>188890</x:v>
      </x:c>
      <x:c r="D22" s="277" t="n">
        <x:f>ROUND(SUM(D16:D21),2)</x:f>
        <x:v>188890</x:v>
      </x:c>
    </x:row>
    <x:row r="23" ht="15" customHeight="1">
      <x:c r="A23" s="157"/>
      <x:c r="B23" s="157" t="str">
        <x:v>MVA</x:v>
      </x:c>
      <x:c r="C23" s="277" t="n">
        <x:f>ROUND(C22*'Oversikt'!$B$39,2)</x:f>
        <x:v>47222.5</x:v>
      </x:c>
      <x:c r="D23" s="277" t="n">
        <x:f>ROUND(D22*'Oversikt'!$B$39,2)</x:f>
        <x:v>47222.5</x:v>
      </x:c>
    </x:row>
    <x:row r="24" ht="15" customHeight="1">
      <x:c r="A24" s="157"/>
      <x:c r="B24" s="285" t="str">
        <x:v>SUM Salgspris</x:v>
      </x:c>
      <x:c r="C24" s="287" t="n">
        <x:f>SUM(C22:C23)</x:f>
        <x:v>236112.5</x:v>
      </x:c>
      <x:c r="D24" s="287" t="n">
        <x:f>SUM(D22:D23)</x:f>
        <x:v>236112.5</x:v>
      </x:c>
    </x:row>
    <x:row r="25" ht="15" customHeight="1">
      <x:c r="A25" s="157"/>
      <x:c r="B25" s="157"/>
      <x:c r="C25" s="157"/>
      <x:c r="D25" s="157"/>
    </x:row>
    <x:row r="26" ht="15" customHeight="1">
      <x:c r="A26" s="157"/>
      <x:c r="B26" s="157"/>
      <x:c r="C26" s="157"/>
      <x:c r="D26" s="157"/>
    </x:row>
    <x:row r="27" ht="15" customHeight="1">
      <x:c r="A27" s="157"/>
      <x:c r="B27" s="157"/>
      <x:c r="C27" s="157"/>
      <x:c r="D27" s="157"/>
    </x:row>
  </x:sheetData>
  <x:pageMargins left="0.7" right="0.7" top="0.75" bottom="0.75" header="0.3" footer="0.3"/>
</x:worksheet>
</file>